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Lich_14_ngay" sheetId="2" state="visible" r:id="rId2"/>
    <sheet xmlns:r="http://schemas.openxmlformats.org/officeDocument/2006/relationships" name="Cong_viec" sheetId="3" state="visible" r:id="rId3"/>
    <sheet xmlns:r="http://schemas.openxmlformats.org/officeDocument/2006/relationships" name="Moc_nghiem_thu" sheetId="4" state="visible" r:id="rId4"/>
    <sheet xmlns:r="http://schemas.openxmlformats.org/officeDocument/2006/relationships" name="Doi_chieu_de" sheetId="5" state="visible" r:id="rId5"/>
    <sheet xmlns:r="http://schemas.openxmlformats.org/officeDocument/2006/relationships" name="Kiem_thu" sheetId="6" state="visible" r:id="rId6"/>
    <sheet xmlns:r="http://schemas.openxmlformats.org/officeDocument/2006/relationships" name="Rui_ro" sheetId="7" state="visible" r:id="rId7"/>
    <sheet xmlns:r="http://schemas.openxmlformats.org/officeDocument/2006/relationships" name="Nguon" sheetId="8" state="visible" r:id="rId8"/>
  </sheets>
  <definedNames>
    <definedName name="_xlnm.Print_Area" localSheetId="0">'Tong_quan'!$A$1:$F$27</definedName>
    <definedName name="_xlnm._FilterDatabase" localSheetId="1" hidden="1">'Lich_14_ngay'!$A$4:$H$18</definedName>
    <definedName name="_xlnm.Print_Titles" localSheetId="1">'Lich_14_ngay'!$1:$4</definedName>
    <definedName name="_xlnm.Print_Area" localSheetId="1">'Lich_14_ngay'!$A$1:$H$18</definedName>
    <definedName name="_xlnm._FilterDatabase" localSheetId="2" hidden="1">'Cong_viec'!$A$4:$L$46</definedName>
    <definedName name="_xlnm.Print_Titles" localSheetId="2">'Cong_viec'!$1:$4</definedName>
    <definedName name="_xlnm.Print_Area" localSheetId="2">'Cong_viec'!$A$1:$L$46</definedName>
    <definedName name="_xlnm._FilterDatabase" localSheetId="3" hidden="1">'Moc_nghiem_thu'!$A$4:$H$11</definedName>
    <definedName name="_xlnm.Print_Titles" localSheetId="3">'Moc_nghiem_thu'!$1:$4</definedName>
    <definedName name="_xlnm.Print_Area" localSheetId="3">'Moc_nghiem_thu'!$A$1:$H$11</definedName>
    <definedName name="_xlnm._FilterDatabase" localSheetId="4" hidden="1">'Doi_chieu_de'!$A$4:$F$22</definedName>
    <definedName name="_xlnm.Print_Titles" localSheetId="4">'Doi_chieu_de'!$1:$4</definedName>
    <definedName name="_xlnm.Print_Area" localSheetId="4">'Doi_chieu_de'!$A$1:$F$22</definedName>
    <definedName name="_xlnm._FilterDatabase" localSheetId="5" hidden="1">'Kiem_thu'!$A$4:$G$18</definedName>
    <definedName name="_xlnm.Print_Titles" localSheetId="5">'Kiem_thu'!$1:$4</definedName>
    <definedName name="_xlnm.Print_Area" localSheetId="5">'Kiem_thu'!$A$1:$G$18</definedName>
    <definedName name="_xlnm._FilterDatabase" localSheetId="6" hidden="1">'Rui_ro'!$A$4:$D$11</definedName>
    <definedName name="_xlnm.Print_Titles" localSheetId="6">'Rui_ro'!$1:$4</definedName>
    <definedName name="_xlnm.Print_Area" localSheetId="6">'Rui_ro'!$A$1:$D$11</definedName>
    <definedName name="_xlnm._FilterDatabase" localSheetId="7" hidden="1">'Nguon'!$A$4:$C$10</definedName>
    <definedName name="_xlnm.Print_Titles" localSheetId="7">'Nguon'!$1:$4</definedName>
    <definedName name="_xlnm.Print_Area" localSheetId="7">'Nguon'!$A$1:$C$10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142D4E"/>
      <sz val="22"/>
    </font>
    <font>
      <color rgb="00566273"/>
      <sz val="12"/>
    </font>
    <font>
      <b val="1"/>
      <color rgb="00142D4E"/>
    </font>
    <font>
      <b val="1"/>
      <color rgb="00FFFFFF"/>
    </font>
    <font>
      <name val="Calibri"/>
      <color rgb="00142D4E"/>
      <sz val="11"/>
    </font>
    <font>
      <b val="1"/>
      <color rgb="00087E8B"/>
    </font>
    <font>
      <name val="Calibri"/>
      <b val="1"/>
      <color rgb="00142D4E"/>
      <sz val="18"/>
    </font>
    <font>
      <name val="Calibri"/>
      <color rgb="00566273"/>
      <sz val="11"/>
    </font>
    <font>
      <name val="Calibri"/>
      <b val="1"/>
      <color rgb="00FFFFFF"/>
    </font>
    <font>
      <color rgb="00245DAD"/>
      <u val="single"/>
    </font>
  </fonts>
  <fills count="6">
    <fill>
      <patternFill/>
    </fill>
    <fill>
      <patternFill patternType="gray125"/>
    </fill>
    <fill>
      <patternFill patternType="solid">
        <fgColor rgb="00FFF1CC"/>
      </patternFill>
    </fill>
    <fill>
      <patternFill patternType="solid">
        <fgColor rgb="00142D4E"/>
      </patternFill>
    </fill>
    <fill>
      <patternFill patternType="solid">
        <fgColor rgb="00F0F5FA"/>
      </patternFill>
    </fill>
    <fill>
      <patternFill patternType="solid">
        <fgColor rgb="00087E8B"/>
      </patternFill>
    </fill>
  </fills>
  <borders count="2">
    <border>
      <left/>
      <right/>
      <top/>
      <bottom/>
      <diagonal/>
    </border>
    <border>
      <bottom style="thin">
        <color rgb="00DDE4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pivotButton="0" quotePrefix="0" xfId="0"/>
    <xf numFmtId="0" fontId="4" fillId="3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center" wrapText="1"/>
    </xf>
    <xf numFmtId="164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2E6"/>
        </patternFill>
      </fill>
    </dxf>
    <dxf>
      <fill>
        <patternFill patternType="solid">
          <fgColor rgb="00FCE0DE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2EB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apisix.apache.org/docs/apisix/installation-guide/" TargetMode="External" Id="rId1"/><Relationship Type="http://schemas.openxmlformats.org/officeDocument/2006/relationships/hyperlink" Target="https://www.flowable.com/open-source/docs/bpmn/ch05a-Spring-Boot" TargetMode="External" Id="rId2"/><Relationship Type="http://schemas.openxmlformats.org/officeDocument/2006/relationships/hyperlink" Target="https://www.keycloak.org/securing-apps/javascript-adapter" TargetMode="External" Id="rId3"/><Relationship Type="http://schemas.openxmlformats.org/officeDocument/2006/relationships/hyperlink" Target="https://scikit-learn.org/stable/modules/generated/sklearn.feature_extraction.text.TfidfVectorizer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20" customWidth="1" min="4" max="4"/>
    <col width="18" customWidth="1" min="5" max="5"/>
    <col width="26" customWidth="1" min="6" max="6"/>
  </cols>
  <sheetData>
    <row r="1" ht="36" customHeight="1">
      <c r="A1" s="1" t="inlineStr">
        <is>
          <t>DX-LAB HaUI — 14 ngày / 3 người</t>
        </is>
      </c>
    </row>
    <row r="2">
      <c r="A2" s="2" t="inlineStr">
        <is>
          <t>Một MVP Smart Service Desk + Open-Core dùng chung. Cập nhật trạng thái từng gói việc sau demo nội bộ hằng ngày. Ngày 1–14 là lịch tương đối, phải đối chiếu hạn nộp BTC.</t>
        </is>
      </c>
    </row>
    <row r="3"/>
    <row r="5">
      <c r="A5" s="3" t="inlineStr">
        <is>
          <t>Ngày bắt đầu (tùy chọn)</t>
        </is>
      </c>
      <c r="B5" s="4" t="n"/>
      <c r="C5" s="5" t="inlineStr">
        <is>
          <t>Chỉ B5 là ô ngày nhập tự do. Giả định 6 giờ/ngày đã bao gồm review và dự phòng. Nhập ngày bắt đầu không tự dời hạn thi.</t>
        </is>
      </c>
    </row>
    <row r="6">
      <c r="A6" s="3" t="inlineStr">
        <is>
          <t>Số ngày</t>
        </is>
      </c>
      <c r="B6" s="6" t="n">
        <v>14</v>
      </c>
    </row>
    <row r="7">
      <c r="A7" s="3" t="inlineStr">
        <is>
          <t>Giờ/người/ngày</t>
        </is>
      </c>
      <c r="B7" s="6" t="n">
        <v>6</v>
      </c>
    </row>
    <row r="8">
      <c r="A8" s="3" t="inlineStr">
        <is>
          <t>Giờ công việc chính/ngày</t>
        </is>
      </c>
      <c r="B8" s="6" t="n">
        <v>4</v>
      </c>
    </row>
    <row r="9">
      <c r="A9" s="3" t="inlineStr">
        <is>
          <t>Giờ review &amp; tích hợp/ngày</t>
        </is>
      </c>
      <c r="B9" s="6" t="n">
        <v>1</v>
      </c>
    </row>
    <row r="10">
      <c r="A10" s="3" t="inlineStr">
        <is>
          <t>Giờ dự phòng/ngày</t>
        </is>
      </c>
      <c r="B10" s="6" t="n">
        <v>1</v>
      </c>
    </row>
    <row r="13" ht="32" customHeight="1">
      <c r="A13" s="7" t="inlineStr">
        <is>
          <t>Vai trò</t>
        </is>
      </c>
      <c r="B13" s="7" t="inlineStr">
        <is>
          <t>Việc chính (giờ)</t>
        </is>
      </c>
      <c r="C13" s="7" t="inlineStr">
        <is>
          <t>Tích hợp (giờ)</t>
        </is>
      </c>
      <c r="D13" s="7" t="inlineStr">
        <is>
          <t>Dự phòng (giờ)</t>
        </is>
      </c>
      <c r="E13" s="7" t="inlineStr">
        <is>
          <t>Tổng (giờ)</t>
        </is>
      </c>
      <c r="F13" s="7" t="inlineStr">
        <is>
          <t>Gói Xong / Tổng</t>
        </is>
      </c>
    </row>
    <row r="14" ht="28" customHeight="1">
      <c r="A14" s="8" t="inlineStr">
        <is>
          <t>Backend</t>
        </is>
      </c>
      <c r="B14" s="8">
        <f>SUMIF(Cong_viec!C5:C46,A14,Cong_viec!I5:I46)</f>
        <v/>
      </c>
      <c r="C14" s="8">
        <f>$B$6*$B$9</f>
        <v/>
      </c>
      <c r="D14" s="8">
        <f>$B$6*$B$10</f>
        <v/>
      </c>
      <c r="E14" s="8">
        <f>SUM(B14:D14)</f>
        <v/>
      </c>
      <c r="F14" s="8">
        <f>COUNTIFS(Cong_viec!C5:C46,A14,Cong_viec!J5:J46,"Xong")&amp;" / "&amp;COUNTIF(Cong_viec!C5:C46,A14)</f>
        <v/>
      </c>
    </row>
    <row r="15" ht="28" customHeight="1">
      <c r="A15" s="9" t="inlineStr">
        <is>
          <t>Frontend</t>
        </is>
      </c>
      <c r="B15" s="9">
        <f>SUMIF(Cong_viec!C5:C46,A15,Cong_viec!I5:I46)</f>
        <v/>
      </c>
      <c r="C15" s="9">
        <f>$B$6*$B$9</f>
        <v/>
      </c>
      <c r="D15" s="9">
        <f>$B$6*$B$10</f>
        <v/>
      </c>
      <c r="E15" s="9">
        <f>SUM(B15:D15)</f>
        <v/>
      </c>
      <c r="F15" s="9">
        <f>COUNTIFS(Cong_viec!C5:C46,A15,Cong_viec!J5:J46,"Xong")&amp;" / "&amp;COUNTIF(Cong_viec!C5:C46,A15)</f>
        <v/>
      </c>
    </row>
    <row r="16" ht="28" customHeight="1">
      <c r="A16" s="8" t="inlineStr">
        <is>
          <t>AI</t>
        </is>
      </c>
      <c r="B16" s="8">
        <f>SUMIF(Cong_viec!C5:C46,A16,Cong_viec!I5:I46)</f>
        <v/>
      </c>
      <c r="C16" s="8">
        <f>$B$6*$B$9</f>
        <v/>
      </c>
      <c r="D16" s="8">
        <f>$B$6*$B$10</f>
        <v/>
      </c>
      <c r="E16" s="8">
        <f>SUM(B16:D16)</f>
        <v/>
      </c>
      <c r="F16" s="8">
        <f>COUNTIFS(Cong_viec!C5:C46,A16,Cong_viec!J5:J46,"Xong")&amp;" / "&amp;COUNTIF(Cong_viec!C5:C46,A16)</f>
        <v/>
      </c>
    </row>
    <row r="17">
      <c r="A17" s="10" t="inlineStr">
        <is>
          <t>Tổng nhóm</t>
        </is>
      </c>
      <c r="B17" s="10">
        <f>SUM(B14:B16)</f>
        <v/>
      </c>
      <c r="C17" s="10">
        <f>SUM(C14:C16)</f>
        <v/>
      </c>
      <c r="D17" s="10">
        <f>SUM(D14:D16)</f>
        <v/>
      </c>
      <c r="E17" s="10">
        <f>SUM(E14:E16)</f>
        <v/>
      </c>
      <c r="F17" s="10">
        <f>COUNTIF(Cong_viec!J5:J46,"Xong")&amp;" / 42"</f>
        <v/>
      </c>
    </row>
    <row r="20" ht="44" customHeight="1">
      <c r="A20" s="11" t="inlineStr">
        <is>
          <t>MVP</t>
        </is>
      </c>
      <c r="B20" s="12" t="inlineStr">
        <is>
          <t>SSO/4 role/2 workspace; core workflow/data/file/audit; 1 Service Desk; triage luật + TF-IDF; dashboard, test, PoF.</t>
        </is>
      </c>
    </row>
    <row r="21" ht="44" customHeight="1">
      <c r="A21" s="11" t="inlineStr">
        <is>
          <t>Ngày 4 / 7 / 10</t>
        </is>
      </c>
      <c r="B21" s="12" t="inlineStr">
        <is>
          <t>Core thật / quy trình đến Closed / đủ H-P-D-I và đóng tính năng.</t>
        </is>
      </c>
    </row>
    <row r="22" ht="44" customHeight="1">
      <c r="A22" s="11" t="inlineStr">
        <is>
          <t>Ngày 12 / 13 / 14</t>
        </is>
      </c>
      <c r="B22" s="12" t="inlineStr">
        <is>
          <t>Đủ hồ sơ / release đã kiểm tra / 2 lượt demo 10 phút và nộp.</t>
        </is>
      </c>
    </row>
    <row r="23" ht="44" customHeight="1">
      <c r="A23" s="11" t="inlineStr">
        <is>
          <t>Ưu tiên</t>
        </is>
      </c>
      <c r="B23" s="12" t="inlineStr">
        <is>
          <t>Tất cả 42 gói là P0. RAG, mini-app, email, OCR, SLA tự động không nằm trong đường cơ sở.</t>
        </is>
      </c>
    </row>
    <row r="24" ht="44" customHeight="1">
      <c r="A24" s="11" t="inlineStr">
        <is>
          <t>Định nghĩa Xong</t>
        </is>
      </c>
      <c r="B24" s="12" t="inlineStr">
        <is>
          <t>Merged + test mục tiêu đạt + chạy chung qua gateway + tài liệu/nguồn được cập nhật; chờ tích hợp chưa là Xong.</t>
        </is>
      </c>
    </row>
    <row r="25" ht="44" customHeight="1">
      <c r="A25" s="11" t="inlineStr">
        <is>
          <t>Hồ sơ</t>
        </is>
      </c>
      <c r="B25" s="12" t="inlineStr">
        <is>
          <t>README, LICENSE, inventory, CHANGELOG, issues, release/tag; báo cáo 8–10 trang khuyến nghị; slide ≤12; video khuyến nghị.</t>
        </is>
      </c>
    </row>
    <row r="26" ht="44" customHeight="1">
      <c r="A26" s="11" t="inlineStr">
        <is>
          <t>Giới hạn</t>
        </is>
      </c>
      <c r="B26" s="12" t="inlineStr">
        <is>
          <t>Đây là kế hoạch, không phải trạng thái repo hoặc kết quả đã kiểm thử. KPI AI là mục tiêu đề xuất, chưa có số đo.</t>
        </is>
      </c>
    </row>
    <row r="27" ht="44" customHeight="1">
      <c r="A27" s="11" t="inlineStr">
        <is>
          <t>Theo dõi</t>
        </is>
      </c>
      <c r="B27" s="12" t="inlineStr">
        <is>
          <t>Nhập trạng thái và giờ thực tế ở Cong_viec. Mỗi gói 4 giờ chính; 1 giờ review và 1 giờ dự phòng nằm riêng trong năng lực tổng quan.</t>
        </is>
      </c>
    </row>
  </sheetData>
  <mergeCells count="11">
    <mergeCell ref="B21:F21"/>
    <mergeCell ref="A2:F3"/>
    <mergeCell ref="B24:F24"/>
    <mergeCell ref="B20:F20"/>
    <mergeCell ref="A1:F1"/>
    <mergeCell ref="B25:F25"/>
    <mergeCell ref="B23:F23"/>
    <mergeCell ref="B22:F22"/>
    <mergeCell ref="B26:F26"/>
    <mergeCell ref="C5:F6"/>
    <mergeCell ref="B27:F27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60" customWidth="1" min="4" max="4"/>
    <col width="60" customWidth="1" min="5" max="5"/>
    <col width="60" customWidth="1" min="6" max="6"/>
    <col width="65" customWidth="1" min="7" max="7"/>
    <col width="26" customWidth="1" min="8" max="8"/>
  </cols>
  <sheetData>
    <row r="1" ht="29" customHeight="1">
      <c r="A1" s="13" t="inlineStr">
        <is>
          <t>LỊCH TÍCH HỢP 14 NGÀY</t>
        </is>
      </c>
    </row>
    <row r="2" ht="34" customHeight="1">
      <c r="A2" s="14" t="inlineStr">
        <is>
          <t>Mỗi vai trò: 4 giờ công việc chính. Cả nhóm: 1 giờ review/tích hợp và 1 giờ dự phòng/người/ngày.</t>
        </is>
      </c>
    </row>
    <row r="4" ht="31" customHeight="1">
      <c r="A4" s="15" t="inlineStr">
        <is>
          <t>Ngày</t>
        </is>
      </c>
      <c r="B4" s="15" t="inlineStr">
        <is>
          <t>Ngày lịch</t>
        </is>
      </c>
      <c r="C4" s="15" t="inlineStr">
        <is>
          <t>Mục tiêu</t>
        </is>
      </c>
      <c r="D4" s="15" t="inlineStr">
        <is>
          <t>Backend</t>
        </is>
      </c>
      <c r="E4" s="15" t="inlineStr">
        <is>
          <t>Frontend</t>
        </is>
      </c>
      <c r="F4" s="15" t="inlineStr">
        <is>
          <t>AI</t>
        </is>
      </c>
      <c r="G4" s="15" t="inlineStr">
        <is>
          <t>Nghiệm thu chung</t>
        </is>
      </c>
      <c r="H4" s="15" t="inlineStr">
        <is>
          <t>Mốc</t>
        </is>
      </c>
    </row>
    <row r="5" ht="132" customHeight="1">
      <c r="A5" s="9" t="n">
        <v>1</v>
      </c>
      <c r="B5" s="16">
        <f>IF(Tong_quan!$B$5="","",Tong_quan!$B$5+A5-1)</f>
        <v/>
      </c>
      <c r="C5" s="9" t="inlineStr">
        <is>
          <t>Chốt phạm vi và hợp đồng API</t>
        </is>
      </c>
      <c r="D5" s="9" t="inlineStr">
        <is>
          <t>Vẽ kiến trúc 3 tầng và ranh giới core/app; chốt 4 vai trò, 2 workspace, quy trình 6 trạng thái; phác OpenAPI và quyền từng endpoint.</t>
        </is>
      </c>
      <c r="E5" s="9" t="inlineStr">
        <is>
          <t>Chốt 6 màn hình và luồng requester/agent; tạo React + TypeScript, layout tiếng Việt; tạo issue board và khung README.</t>
        </is>
      </c>
      <c r="F5" s="9" t="inlineStr">
        <is>
          <t>Chốt nhóm NETWORK/ACCOUNT/SOFTWARE/HARDWARE/OTHER, luật ưu tiên theo mức ảnh hưởng; thiết kế metadata tài liệu và schema kết quả AI; kiểm kê thư viện dự kiến.</t>
        </is>
      </c>
      <c r="G5" s="9" t="inlineStr">
        <is>
          <t>Họp chốt phạm vi; lập repo public, LICENSE cho mã nhóm, issue và phân công. Chỉ dùng dữ liệu giả.</t>
        </is>
      </c>
      <c r="H5" s="9" t="inlineStr">
        <is>
          <t>Không mở thêm nghiệp vụ</t>
        </is>
      </c>
    </row>
    <row r="6" ht="132" customHeight="1">
      <c r="A6" s="8" t="n">
        <v>2</v>
      </c>
      <c r="B6" s="17">
        <f>IF(Tong_quan!$B$5="","",Tong_quan!$B$5+A6-1)</f>
        <v/>
      </c>
      <c r="C6" s="8" t="inlineStr">
        <is>
          <t>Dựng bộ khung chạy chung</t>
        </is>
      </c>
      <c r="D6" s="8" t="inlineStr">
        <is>
          <t>Dựng Compose cho PostgreSQL, Keycloak, backend Spring; tách module core/service-desk; migrations khởi tạo và healthcheck; thử tổ hợp Java/Spring/Flowable.</t>
        </is>
      </c>
      <c r="E6" s="8" t="inlineStr">
        <is>
          <t>Tạo route, form/table/timeline dùng chung, mock theo OpenAPI; đóng gói frontend vào Compose; dựng khung tài liệu cách chạy.</t>
        </is>
      </c>
      <c r="F6" s="8" t="inlineStr">
        <is>
          <t>Hỗ trợ BE cấu hình APISIX standalone và route /api; tạo FastAPI /health, Dockerfile AI; lưu dependency/source/license ban đầu.</t>
        </is>
      </c>
      <c r="G6" s="8" t="inlineStr">
        <is>
          <t>G1: mỗi người chạy skeleton trên máy mình; chốt danh sách phiên bản, máy demo và chi phí RAM thực tế.</t>
        </is>
      </c>
      <c r="H6" s="8" t="inlineStr">
        <is>
          <t>G1 — bộ khung</t>
        </is>
      </c>
    </row>
    <row r="7" ht="132" customHeight="1">
      <c r="A7" s="9" t="n">
        <v>3</v>
      </c>
      <c r="B7" s="16">
        <f>IF(Tong_quan!$B$5="","",Tong_quan!$B$5+A7-1)</f>
        <v/>
      </c>
      <c r="C7" s="9" t="inlineStr">
        <is>
          <t>Đăng nhập thật và cô lập workspace</t>
        </is>
      </c>
      <c r="D7" s="9" t="inlineStr">
        <is>
          <t>Xác minh JWT issuer/audience; GET /me, memberships và RBAC server-side; seed 4 vai trò ở 2 workspace; đóng cổng DB/backend không cần public.</t>
        </is>
      </c>
      <c r="E7" s="9" t="inlineStr">
        <is>
          <t>Nối Keycloak Authorization Code + PKCE; login/logout, lưu token theo adapter, refresh; route guard và gọi /me thật.</t>
        </is>
      </c>
      <c r="F7" s="9" t="inlineStr">
        <is>
          <t>Viết luật triage v0.1; chuẩn hóa tiếng Việt có/không dấu; soạn bộ 100 ticket theo nhóm tình huống, chia 60 phát triển/40 holdout và khóa split.</t>
        </is>
      </c>
      <c r="G7" s="9" t="inlineStr">
        <is>
          <t>Demo browser → Keycloak → gateway → /me. FE/AI kiểm tra ngược quyền thay cho người viết backend.</t>
        </is>
      </c>
      <c r="H7" s="9" t="inlineStr">
        <is>
          <t>Auth chạy thật</t>
        </is>
      </c>
    </row>
    <row r="8" ht="132" customHeight="1">
      <c r="A8" s="8" t="n">
        <v>4</v>
      </c>
      <c r="B8" s="17">
        <f>IF(Tong_quan!$B$5="","",Tong_quan!$B$5+A8-1)</f>
        <v/>
      </c>
      <c r="C8" s="8" t="inlineStr">
        <is>
          <t>Hoàn thành nền lõi tối thiểu</t>
        </is>
      </c>
      <c r="D8" s="8" t="inlineStr">
        <is>
          <t>Nhúng Flowable OSS; deploy BPMN thử; viết WorkflowService start/task/history dùng khóa quy trình + business key; chốt Core Data metadata contract.</t>
        </is>
      </c>
      <c r="E8" s="8" t="inlineStr">
        <is>
          <t>Làm form tạo, danh sách và chi tiết ticket theo contract; trạng thái loading/error/empty; trang workspace/tri thức khung.</t>
        </is>
      </c>
      <c r="F8" s="8" t="inlineStr">
        <is>
          <t>Hoàn thành POST /triage và /search bản đầu; TF-IDF + cosine lấy đoạn trích; chốt 20 tài liệu có id/version/source/license/checksum.</t>
        </is>
      </c>
      <c r="G8" s="8" t="inlineStr">
        <is>
          <t>G2: đăng nhập, API có quyền, gateway, dữ liệu và workflow thật cùng chạy. API lõi gọi được bằng collection khi UI tắt.</t>
        </is>
      </c>
      <c r="H8" s="8" t="inlineStr">
        <is>
          <t>G2 — Open-Core</t>
        </is>
      </c>
    </row>
    <row r="9" ht="132" customHeight="1">
      <c r="A9" s="9" t="n">
        <v>5</v>
      </c>
      <c r="B9" s="16">
        <f>IF(Tong_quan!$B$5="","",Tong_quan!$B$5+A9-1)</f>
        <v/>
      </c>
      <c r="C9" s="9" t="inlineStr">
        <is>
          <t>Tạo ticket gắn workflow thật</t>
        </is>
      </c>
      <c r="D9" s="9" t="inlineStr">
        <is>
          <t>Viết tạo/đọc/list ticket với workspace và phân trang; gọi WorkflowService trong transaction phù hợp; lưu process_instance_id/business_key; không sửa bảng engine.</t>
        </is>
      </c>
      <c r="E9" s="9" t="inlineStr">
        <is>
          <t>Thay mock bằng API thật cho tạo/list/detail; validate input; hiển thị mã, trạng thái, người tạo và thời gian.</t>
        </is>
      </c>
      <c r="F9" s="9" t="inlineStr">
        <is>
          <t>Tách index theo workspace; soạn manifest ingest từ Core Data; mở nguồn tài liệu bằng doc_id/version; viết test contract cho triage/search.</t>
        </is>
      </c>
      <c r="G9" s="9" t="inlineStr">
        <is>
          <t>Chạy một ticket Wi-Fi từ form đến process; kiểm tra business key và ranh giới core/app.</t>
        </is>
      </c>
      <c r="H9" s="9" t="inlineStr">
        <is>
          <t>Ticket + process</t>
        </is>
      </c>
    </row>
    <row r="10" ht="132" customHeight="1">
      <c r="A10" s="8" t="n">
        <v>6</v>
      </c>
      <c r="B10" s="17">
        <f>IF(Tong_quan!$B$5="","",Tong_quan!$B$5+A10-1)</f>
        <v/>
      </c>
      <c r="C10" s="8" t="inlineStr">
        <is>
          <t>Hàng chờ và thao tác xử lý</t>
        </is>
      </c>
      <c r="D10" s="8" t="inlineStr">
        <is>
          <t>Hoàn thiện BPMN Service Desk: triage → assign → start → resolve → confirm close; API task/claim/complete có quyền; ưu tiên engine là nguồn trạng thái.</t>
        </is>
      </c>
      <c r="E10" s="8" t="inlineStr">
        <is>
          <t>Làm inbox agent, chọn nhóm/người xử lý, nút nhận/bắt đầu/hoàn tất/xác nhận đóng; hiển thị action hợp lệ theo response.</t>
        </is>
      </c>
      <c r="F10" s="8" t="inlineStr">
        <is>
          <t>Hoàn thiện luật mức ảnh hưởng, unknown/needs_review, lý do và rule version; chỉnh trên 60 mẫu phát triển; chuẩn bị ca phủ định/thiếu thông tin.</t>
        </is>
      </c>
      <c r="G10" s="8" t="inlineStr">
        <is>
          <t>Review nhãn holdout và rubric; mọi người tự thử vai trò mình không phát triển.</t>
        </is>
      </c>
      <c r="H10" s="8" t="inlineStr">
        <is>
          <t>Process đầy đủ</t>
        </is>
      </c>
    </row>
    <row r="11" ht="132" customHeight="1">
      <c r="A11" s="9" t="n">
        <v>7</v>
      </c>
      <c r="B11" s="16">
        <f>IF(Tong_quan!$B$5="","",Tong_quan!$B$5+A11-1)</f>
        <v/>
      </c>
      <c r="C11" s="9" t="inlineStr">
        <is>
          <t>Khép kín workflow và lịch sử</t>
        </is>
      </c>
      <c r="D11" s="9" t="inlineStr">
        <is>
          <t>Hoàn thiện timeline/audit actor, time, from/to, comment, request_id; test hoàn tất trùng task và xác nhận đóng đúng requester; đồng bộ trạng thái với engine.</t>
        </is>
      </c>
      <c r="E11" s="9" t="inlineStr">
        <is>
          <t>Nối timeline, ghi chú, lọc cơ bản; sửa lỗi xuyên suốt; chạy phiên requester và agent tách nhau để demo.</t>
        </is>
      </c>
      <c r="F11" s="9" t="inlineStr">
        <is>
          <t>Bàn giao AI client spec: timeout, unavailable, citation schema; tạo script smoke API dùng chung; chuẩn bị payload cho UI panel.</t>
        </is>
      </c>
      <c r="G11" s="9" t="inlineStr">
        <is>
          <t>G3: cả nhóm chạy ticket đến Closed, xem task/history thật và kiểm tra chéo workspace. Nếu trượt, dừng việc bổ sung giao diện/AI nâng cao.</t>
        </is>
      </c>
      <c r="H11" s="9" t="inlineStr">
        <is>
          <t>G3 — quy trình</t>
        </is>
      </c>
    </row>
    <row r="12" ht="132" customHeight="1">
      <c r="A12" s="8" t="n">
        <v>8</v>
      </c>
      <c r="B12" s="17">
        <f>IF(Tong_quan!$B$5="","",Tong_quan!$B$5+A12-1)</f>
        <v/>
      </c>
      <c r="C12" s="8" t="inlineStr">
        <is>
          <t>Ghép tri thức, tệp và AI</t>
        </is>
      </c>
      <c r="D12" s="8" t="inlineStr">
        <is>
          <t>Hoàn thiện Core Knowledge/File API đọc metadata, upload/download riêng tư; giới hạn 5 MB và loại file; nối AI qua backend với timeout 3 giây và kiểm tra quyền citation.</t>
        </is>
      </c>
      <c r="E12" s="8" t="inlineStr">
        <is>
          <t>Hoàn thiện Knowledge Hub, upload/download và panel gợi ý nhóm/ưu tiên; hiển thị nguồn/đoạn trích, không có kết quả và lỗi AI.</t>
        </is>
      </c>
      <c r="F12" s="8" t="inlineStr">
        <is>
          <t>Nối ingest từ Core Data vào index; trả top-3 đoạn trích phù hợp; kiểm tra workspace trước truy xuất; test tài liệu hết quyền/đổi version và AI tắt.</t>
        </is>
      </c>
      <c r="G12" s="8" t="inlineStr">
        <is>
          <t>Demo Wi-Fi có gợi ý Network/High kèm lý do và nguồn; ngắt AI rồi tạo ticket và xử lý thủ công.</t>
        </is>
      </c>
      <c r="H12" s="8" t="inlineStr">
        <is>
          <t>H-P-D-I nối đủ</t>
        </is>
      </c>
    </row>
    <row r="13" ht="132" customHeight="1">
      <c r="A13" s="9" t="n">
        <v>9</v>
      </c>
      <c r="B13" s="16">
        <f>IF(Tong_quan!$B$5="","",Tong_quan!$B$5+A13-1)</f>
        <v/>
      </c>
      <c r="C13" s="9" t="inlineStr">
        <is>
          <t>Dashboard và đánh giá AI</t>
        </is>
      </c>
      <c r="D13" s="9" t="inlineStr">
        <is>
          <t>Thêm thống kê tổng/chờ/đang xử lý/đã đóng; lọc nhóm/trạng thái; lưu accepted/overridden có actor và giá trị trước/sau; viết test truy vấn quyền.</t>
        </is>
      </c>
      <c r="E13" s="9" t="inlineStr">
        <is>
          <t>Nối dashboard bằng dữ liệu thật; UI chấp nhận/sửa gợi ý; responsive cơ bản cho laptop; mô tả nhãn trạng thái tiếng Việt.</t>
        </is>
      </c>
      <c r="F13" s="9" t="inlineStr">
        <is>
          <t>Chạy đánh giá holdout lần đầu; đo phân loại, fallback, top-3 retrieval và latency; ghi confusion matrix, ví dụ sai, nguồn dữ liệu và giới hạn.</t>
        </is>
      </c>
      <c r="G13" s="9" t="inlineStr">
        <is>
          <t>Review luồng có AI, so số dashboard, ghi các lỗi bắt buộc sửa trước đóng tính năng.</t>
        </is>
      </c>
      <c r="H13" s="9" t="inlineStr">
        <is>
          <t>Ứng dụng đủ MVP</t>
        </is>
      </c>
    </row>
    <row r="14" ht="132" customHeight="1">
      <c r="A14" s="8" t="n">
        <v>10</v>
      </c>
      <c r="B14" s="17">
        <f>IF(Tong_quan!$B$5="","",Tong_quan!$B$5+A14-1)</f>
        <v/>
      </c>
      <c r="C14" s="8" t="inlineStr">
        <is>
          <t>Chốt phạm vi và chứng minh dùng lại core</t>
        </is>
      </c>
      <c r="D14" s="8" t="inlineStr">
        <is>
          <t>Dùng script chạy quy trình duyệt tài liệu đơn giản với process key khác; kiểm tra core không import domain ticket; sửa blocker cuối.</t>
        </is>
      </c>
      <c r="E14" s="8" t="inlineStr">
        <is>
          <t>Chạy checklist toàn bộ màn hình; thu ảnh minh chứng H-P-D-I; ghép báo cáo và slide bản đầu; bỏ mock khỏi đường demo.</t>
        </is>
      </c>
      <c r="F14" s="8" t="inlineStr">
        <is>
          <t>Hoàn thiện script seed/reset 80 ticket giả và 20 tài liệu qua API/transition; tạo snapshot/index version; kiểm tra dữ liệu seed phù hợp engine.</t>
        </is>
      </c>
      <c r="G14" s="8" t="inlineStr">
        <is>
          <t>G4: chạy toàn bộ flow có AI, dữ liệu, tệp, dashboard và headless. Feature freeze cuối ngày 10; từ đây chỉ sửa lỗi và hoàn thiện hồ sơ.</t>
        </is>
      </c>
      <c r="H14" s="8" t="inlineStr">
        <is>
          <t>G4 — đóng tính năng</t>
        </is>
      </c>
    </row>
    <row r="15" ht="132" customHeight="1">
      <c r="A15" s="9" t="n">
        <v>11</v>
      </c>
      <c r="B15" s="16">
        <f>IF(Tong_quan!$B$5="","",Tong_quan!$B$5+A15-1)</f>
        <v/>
      </c>
      <c r="C15" s="9" t="inlineStr">
        <is>
          <t>Kiểm thử liên thông và lỗi thực tế</t>
        </is>
      </c>
      <c r="D15" s="9" t="inlineStr">
        <is>
          <t>Sửa lỗi RBAC, cross-workspace, task race/double submit, file path và transaction; chạy test chức năng lõi và kiểm tra cổng exposed.</t>
        </is>
      </c>
      <c r="E15" s="9" t="inlineStr">
        <is>
          <t>Tự clone source trên máy/môi trường mới, chạy theo README mà không hỏi BE; kiểm tra lỗi form, refresh, permission, file, dashboard; ghi thời gian setup.</t>
        </is>
      </c>
      <c r="F15" s="9" t="inlineStr">
        <is>
          <t>Thử AI tắt/chậm, index trống, không có nguồn; đo trên máy demo; chạy lại snapshot đánh giá và demo không Internet sau khi preload.</t>
        </is>
      </c>
      <c r="G15" s="9" t="inlineStr">
        <is>
          <t>Nhóm phân loại lỗi: blocker / major / minor. Chỉ phát hành khi blocker = 0; major liên quan quyền, workflow, build = 0.</t>
        </is>
      </c>
      <c r="H15" s="9" t="inlineStr">
        <is>
          <t>Integration &amp; test</t>
        </is>
      </c>
    </row>
    <row r="16" ht="132" customHeight="1">
      <c r="A16" s="8" t="n">
        <v>12</v>
      </c>
      <c r="B16" s="17">
        <f>IF(Tong_quan!$B$5="","",Tong_quan!$B$5+A16-1)</f>
        <v/>
      </c>
      <c r="C16" s="8" t="inlineStr">
        <is>
          <t>Hoàn thiện Proof of FOSS</t>
        </is>
      </c>
      <c r="D16" s="8" t="inlineStr">
        <is>
          <t>Rà phiên bản/giấy phép dependency BE, gateway, identity, engine, DB và image; chốt ADR, API, hướng dẫn cấu hình, CHANGELOG; review secret scan.</t>
        </is>
      </c>
      <c r="E16" s="8" t="inlineStr">
        <is>
          <t>Hoàn thành README, hướng dẫn tài khoản demo sinh lúc setup, troubleshooting, CONTRIBUTING và bug tracker; tổng hợp báo cáo 8–10 trang, slide tối đa 12.</t>
        </is>
      </c>
      <c r="F16" s="8" t="inlineStr">
        <is>
          <t>Chốt DATA_CARD, INTELLIGENCE_CARD, licenses của Python/data/model nếu có; xuất metrics và giới hạn; hỗ trợ quét secrets trong lịch sử git.</t>
        </is>
      </c>
      <c r="G16" s="8" t="inlineStr">
        <is>
          <t>G5: so từng mục hồ sơ với đề và rubric 50/50; kiểm tra repo public, commit thật, issue, lockfiles và source build.</t>
        </is>
      </c>
      <c r="H16" s="8" t="inlineStr">
        <is>
          <t>G5 — hồ sơ nguồn mở</t>
        </is>
      </c>
    </row>
    <row r="17" ht="132" customHeight="1">
      <c r="A17" s="9" t="n">
        <v>13</v>
      </c>
      <c r="B17" s="16">
        <f>IF(Tong_quan!$B$5="","",Tong_quan!$B$5+A17-1)</f>
        <v/>
      </c>
      <c r="C17" s="9" t="inlineStr">
        <is>
          <t>Nghiệm thu đúng bản phát hành</t>
        </is>
      </c>
      <c r="D17" s="9" t="inlineStr">
        <is>
          <t>Tạo release candidate; checkout sạch đúng commit, build/run/test; nếu đạt tạo tag và release v1.0.0, ghi known limitations/checksum/commit.</t>
        </is>
      </c>
      <c r="E17" s="9" t="inlineStr">
        <is>
          <t>Chốt slide và báo cáo; quay video 3–5 phút dự phòng; chạy thử bài 10 phút; FE giữ bản tài liệu nộp.</t>
        </is>
      </c>
      <c r="F17" s="9" t="inlineStr">
        <is>
          <t>Xác nhận metrics/rule/index khớp tag; preload images/dependencies cho máy demo và máy dự phòng; kiểm tra reset, offline startup, bản snapshot.</t>
        </is>
      </c>
      <c r="G17" s="9" t="inlineStr">
        <is>
          <t>G6: review bản phát hành, kiểm link truy cập công khai; không thay kiến trúc, dependency lớn hay model.</t>
        </is>
      </c>
      <c r="H17" s="9" t="inlineStr">
        <is>
          <t>G6 — release</t>
        </is>
      </c>
    </row>
    <row r="18" ht="132" customHeight="1">
      <c r="A18" s="8" t="n">
        <v>14</v>
      </c>
      <c r="B18" s="17">
        <f>IF(Tong_quan!$B$5="","",Tong_quan!$B$5+A18-1)</f>
        <v/>
      </c>
      <c r="C18" s="8" t="inlineStr">
        <is>
          <t>Diễn tập và nộp bài</t>
        </is>
      </c>
      <c r="D18" s="8" t="inlineStr">
        <is>
          <t>Chuẩn bị phần giải thích core/SSO/workflow/tái sử dụng; kiểm lại repo/tag, API collection, cấu hình máy; trực xử lý sự cố demo.</t>
        </is>
      </c>
      <c r="E18" s="8" t="inlineStr">
        <is>
          <t>Điều phối hai lượt rehearsal liên tiếp 10 phút + 5 phút hỏi đáp; mở đúng màn hình, báo cáo, slide/video; kiểm danh sách nộp và nộp trước hạn thực.</t>
        </is>
      </c>
      <c r="F18" s="8" t="inlineStr">
        <is>
          <t>Trình bày lý do gợi ý, citation, ví dụ AI sai/fallback và kết quả đánh giá; kiểm dữ liệu reset, backup; chuẩn bị trả lời giới hạn.</t>
        </is>
      </c>
      <c r="G18" s="8" t="inlineStr">
        <is>
          <t>G7: repo public + release/tag + README/LICENSE/inventory/CHANGELOG/issues + báo cáo + slide. Video khuyến nghị; lưu xác nhận nộp.</t>
        </is>
      </c>
      <c r="H18" s="8" t="inlineStr">
        <is>
          <t>G7 — nộp bài</t>
        </is>
      </c>
    </row>
  </sheetData>
  <autoFilter ref="A4:H18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L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9" customWidth="1" min="4" max="4"/>
    <col width="68" customWidth="1" min="5" max="5"/>
    <col width="43" customWidth="1" min="6" max="6"/>
    <col width="54" customWidth="1" min="7" max="7"/>
    <col width="28" customWidth="1" min="8" max="8"/>
    <col width="12" customWidth="1" min="9" max="9"/>
    <col width="18" customWidth="1" min="10" max="10"/>
    <col width="13" customWidth="1" min="11" max="11"/>
    <col width="42" customWidth="1" min="12" max="12"/>
  </cols>
  <sheetData>
    <row r="1" ht="29" customHeight="1">
      <c r="A1" s="13" t="inlineStr">
        <is>
          <t>42 GÓI CÔNG VIỆC — BACKLOG THEO NGÀY</t>
        </is>
      </c>
    </row>
    <row r="2" ht="34" customHeight="1">
      <c r="A2" s="14" t="inlineStr">
        <is>
          <t>Chỉ đánh dấu Xong khi đã tích hợp/test và có bằng chứng. Phụ thuộc cùng ngày cần ghép trong giờ tích hợp.</t>
        </is>
      </c>
    </row>
    <row r="4" ht="31" customHeight="1">
      <c r="A4" s="15" t="inlineStr">
        <is>
          <t>ID</t>
        </is>
      </c>
      <c r="B4" s="15" t="inlineStr">
        <is>
          <t>Ngày</t>
        </is>
      </c>
      <c r="C4" s="15" t="inlineStr">
        <is>
          <t>Vai trò</t>
        </is>
      </c>
      <c r="D4" s="15" t="inlineStr">
        <is>
          <t>Ưu tiên</t>
        </is>
      </c>
      <c r="E4" s="15" t="inlineStr">
        <is>
          <t>Việc phải làm</t>
        </is>
      </c>
      <c r="F4" s="15" t="inlineStr">
        <is>
          <t>Bàn giao</t>
        </is>
      </c>
      <c r="G4" s="15" t="inlineStr">
        <is>
          <t>Điều kiện Xong</t>
        </is>
      </c>
      <c r="H4" s="15" t="inlineStr">
        <is>
          <t>Phụ thuộc</t>
        </is>
      </c>
      <c r="I4" s="15" t="inlineStr">
        <is>
          <t>Giờ chính</t>
        </is>
      </c>
      <c r="J4" s="15" t="inlineStr">
        <is>
          <t>Trạng thái</t>
        </is>
      </c>
      <c r="K4" s="15" t="inlineStr">
        <is>
          <t>Giờ thực tế</t>
        </is>
      </c>
      <c r="L4" s="15" t="inlineStr">
        <is>
          <t>Blocker / link bằng chứng</t>
        </is>
      </c>
    </row>
    <row r="5" ht="106" customHeight="1">
      <c r="A5" s="9" t="inlineStr">
        <is>
          <t>BE-01</t>
        </is>
      </c>
      <c r="B5" s="9" t="n">
        <v>1</v>
      </c>
      <c r="C5" s="9" t="inlineStr">
        <is>
          <t>Backend</t>
        </is>
      </c>
      <c r="D5" s="9" t="inlineStr">
        <is>
          <t>P0</t>
        </is>
      </c>
      <c r="E5" s="9" t="inlineStr">
        <is>
          <t>Vẽ kiến trúc 3 tầng và ranh giới core/app; chốt 4 vai trò, 2 workspace, quy trình 6 trạng thái; phác OpenAPI và quyền từng endpoint.</t>
        </is>
      </c>
      <c r="F5" s="9" t="inlineStr">
        <is>
          <t>ADR-001, sơ đồ kiến trúc, OpenAPI nháp, ma trận quyền.</t>
        </is>
      </c>
      <c r="G5" s="9" t="inlineStr">
        <is>
          <t>Cả nhóm thống nhất request/response, trạng thái, chủ sở hữu dữ liệu; core không phụ thuộc ticket.</t>
        </is>
      </c>
      <c r="H5" s="9" t="inlineStr">
        <is>
          <t>Đề chính thức + bản ý tưởng</t>
        </is>
      </c>
      <c r="I5" s="9" t="n">
        <v>4</v>
      </c>
      <c r="J5" s="9" t="inlineStr">
        <is>
          <t>Chưa làm</t>
        </is>
      </c>
      <c r="K5" s="9" t="n"/>
      <c r="L5" s="9" t="n"/>
    </row>
    <row r="6" ht="106" customHeight="1">
      <c r="A6" s="8" t="inlineStr">
        <is>
          <t>FE-01</t>
        </is>
      </c>
      <c r="B6" s="8" t="n">
        <v>1</v>
      </c>
      <c r="C6" s="8" t="inlineStr">
        <is>
          <t>Frontend</t>
        </is>
      </c>
      <c r="D6" s="8" t="inlineStr">
        <is>
          <t>P0</t>
        </is>
      </c>
      <c r="E6" s="8" t="inlineStr">
        <is>
          <t>Chốt 6 màn hình và luồng requester/agent; tạo React + TypeScript, layout tiếng Việt; tạo issue board và khung README.</t>
        </is>
      </c>
      <c r="F6" s="8" t="inlineStr">
        <is>
          <t>Wireframe 6 màn hình, frontend chạy, backlog chung.</t>
        </is>
      </c>
      <c r="G6" s="8" t="inlineStr">
        <is>
          <t>Luồng tạo → xử lý → đóng ticket có đủ màn hình; phân biệt quyền trên UI.</t>
        </is>
      </c>
      <c r="H6" s="8" t="inlineStr">
        <is>
          <t>Phối hợp BE-01</t>
        </is>
      </c>
      <c r="I6" s="8" t="n">
        <v>4</v>
      </c>
      <c r="J6" s="8" t="inlineStr">
        <is>
          <t>Chưa làm</t>
        </is>
      </c>
      <c r="K6" s="8" t="n"/>
      <c r="L6" s="8" t="n"/>
    </row>
    <row r="7" ht="106" customHeight="1">
      <c r="A7" s="9" t="inlineStr">
        <is>
          <t>AI-01</t>
        </is>
      </c>
      <c r="B7" s="9" t="n">
        <v>1</v>
      </c>
      <c r="C7" s="9" t="inlineStr">
        <is>
          <t>AI</t>
        </is>
      </c>
      <c r="D7" s="9" t="inlineStr">
        <is>
          <t>P0</t>
        </is>
      </c>
      <c r="E7" s="9" t="inlineStr">
        <is>
          <t>Chốt nhóm NETWORK/ACCOUNT/SOFTWARE/HARDWARE/OTHER, luật ưu tiên theo mức ảnh hưởng; thiết kế metadata tài liệu và schema kết quả AI; kiểm kê thư viện dự kiến.</t>
        </is>
      </c>
      <c r="F7" s="9" t="inlineStr">
        <is>
          <t>AI contract, taxonomy, 12 ticket ví dụ, 5 tài liệu tự soạn, inventory nháp.</t>
        </is>
      </c>
      <c r="G7" s="9" t="inlineStr">
        <is>
          <t>Có ca rõ ràng, mơ hồ, ngoài phạm vi; nguồn/quyền sử dụng được ghi.</t>
        </is>
      </c>
      <c r="H7" s="9" t="inlineStr">
        <is>
          <t>Phối hợp BE-01</t>
        </is>
      </c>
      <c r="I7" s="9" t="n">
        <v>4</v>
      </c>
      <c r="J7" s="9" t="inlineStr">
        <is>
          <t>Chưa làm</t>
        </is>
      </c>
      <c r="K7" s="9" t="n"/>
      <c r="L7" s="9" t="n"/>
    </row>
    <row r="8" ht="106" customHeight="1">
      <c r="A8" s="8" t="inlineStr">
        <is>
          <t>BE-02</t>
        </is>
      </c>
      <c r="B8" s="8" t="n">
        <v>2</v>
      </c>
      <c r="C8" s="8" t="inlineStr">
        <is>
          <t>Backend</t>
        </is>
      </c>
      <c r="D8" s="8" t="inlineStr">
        <is>
          <t>P0</t>
        </is>
      </c>
      <c r="E8" s="8" t="inlineStr">
        <is>
          <t>Dựng Compose cho PostgreSQL, Keycloak, backend Spring; tách module core/service-desk; migrations khởi tạo và healthcheck; thử tổ hợp Java/Spring/Flowable.</t>
        </is>
      </c>
      <c r="F8" s="8" t="inlineStr">
        <is>
          <t>Compose, Dockerfile BE, cấu hình realm mẫu, skeleton API.</t>
        </is>
      </c>
      <c r="G8" s="8" t="inlineStr">
        <is>
          <t>Các container khởi động; schema và module có ranh giới; pin phiên bản đã smoke test.</t>
        </is>
      </c>
      <c r="H8" s="8" t="inlineStr">
        <is>
          <t>BE-01</t>
        </is>
      </c>
      <c r="I8" s="8" t="n">
        <v>4</v>
      </c>
      <c r="J8" s="8" t="inlineStr">
        <is>
          <t>Chưa làm</t>
        </is>
      </c>
      <c r="K8" s="8" t="n"/>
      <c r="L8" s="8" t="n"/>
    </row>
    <row r="9" ht="106" customHeight="1">
      <c r="A9" s="9" t="inlineStr">
        <is>
          <t>FE-02</t>
        </is>
      </c>
      <c r="B9" s="9" t="n">
        <v>2</v>
      </c>
      <c r="C9" s="9" t="inlineStr">
        <is>
          <t>Frontend</t>
        </is>
      </c>
      <c r="D9" s="9" t="inlineStr">
        <is>
          <t>P0</t>
        </is>
      </c>
      <c r="E9" s="9" t="inlineStr">
        <is>
          <t>Tạo route, form/table/timeline dùng chung, mock theo OpenAPI; đóng gói frontend vào Compose; dựng khung tài liệu cách chạy.</t>
        </is>
      </c>
      <c r="F9" s="9" t="inlineStr">
        <is>
          <t>Frontend container, API client có base URL qua gateway, mock fixtures.</t>
        </is>
      </c>
      <c r="G9" s="9" t="inlineStr">
        <is>
          <t>Một lệnh chạy được trang; mock tách rõ môi trường dev.</t>
        </is>
      </c>
      <c r="H9" s="9" t="inlineStr">
        <is>
          <t>FE-01 + OpenAPI ngày 1</t>
        </is>
      </c>
      <c r="I9" s="9" t="n">
        <v>4</v>
      </c>
      <c r="J9" s="9" t="inlineStr">
        <is>
          <t>Chưa làm</t>
        </is>
      </c>
      <c r="K9" s="9" t="n"/>
      <c r="L9" s="9" t="n"/>
    </row>
    <row r="10" ht="106" customHeight="1">
      <c r="A10" s="8" t="inlineStr">
        <is>
          <t>AI-02</t>
        </is>
      </c>
      <c r="B10" s="8" t="n">
        <v>2</v>
      </c>
      <c r="C10" s="8" t="inlineStr">
        <is>
          <t>AI</t>
        </is>
      </c>
      <c r="D10" s="8" t="inlineStr">
        <is>
          <t>P0</t>
        </is>
      </c>
      <c r="E10" s="8" t="inlineStr">
        <is>
          <t>Hỗ trợ BE cấu hình APISIX standalone và route /api; tạo FastAPI /health, Dockerfile AI; lưu dependency/source/license ban đầu.</t>
        </is>
      </c>
      <c r="F10" s="8" t="inlineStr">
        <is>
          <t>Gateway route và AI container; healthcheck; lockfile Python.</t>
        </is>
      </c>
      <c r="G10" s="8" t="inlineStr">
        <is>
          <t>Gọi health qua gateway được; AI chỉ ở mạng nội bộ; không commit secret.</t>
        </is>
      </c>
      <c r="H10" s="8" t="inlineStr">
        <is>
          <t>AI-01 + skeleton BE-02</t>
        </is>
      </c>
      <c r="I10" s="8" t="n">
        <v>4</v>
      </c>
      <c r="J10" s="8" t="inlineStr">
        <is>
          <t>Chưa làm</t>
        </is>
      </c>
      <c r="K10" s="8" t="n"/>
      <c r="L10" s="8" t="n"/>
    </row>
    <row r="11" ht="106" customHeight="1">
      <c r="A11" s="9" t="inlineStr">
        <is>
          <t>BE-03</t>
        </is>
      </c>
      <c r="B11" s="9" t="n">
        <v>3</v>
      </c>
      <c r="C11" s="9" t="inlineStr">
        <is>
          <t>Backend</t>
        </is>
      </c>
      <c r="D11" s="9" t="inlineStr">
        <is>
          <t>P0</t>
        </is>
      </c>
      <c r="E11" s="9" t="inlineStr">
        <is>
          <t>Xác minh JWT issuer/audience; GET /me, memberships và RBAC server-side; seed 4 vai trò ở 2 workspace; đóng cổng DB/backend không cần public.</t>
        </is>
      </c>
      <c r="F11" s="9" t="inlineStr">
        <is>
          <t>Identity adapter, membership API, test quyền ban đầu.</t>
        </is>
      </c>
      <c r="G11" s="9" t="inlineStr">
        <is>
          <t>Token hợp lệ vào được; thiếu token 401; truy cập workspace khác bị từ chối.</t>
        </is>
      </c>
      <c r="H11" s="9" t="inlineStr">
        <is>
          <t>BE-02 + AI-02</t>
        </is>
      </c>
      <c r="I11" s="9" t="n">
        <v>4</v>
      </c>
      <c r="J11" s="9" t="inlineStr">
        <is>
          <t>Chưa làm</t>
        </is>
      </c>
      <c r="K11" s="9" t="n"/>
      <c r="L11" s="9" t="n"/>
    </row>
    <row r="12" ht="106" customHeight="1">
      <c r="A12" s="8" t="inlineStr">
        <is>
          <t>FE-03</t>
        </is>
      </c>
      <c r="B12" s="8" t="n">
        <v>3</v>
      </c>
      <c r="C12" s="8" t="inlineStr">
        <is>
          <t>Frontend</t>
        </is>
      </c>
      <c r="D12" s="8" t="inlineStr">
        <is>
          <t>P0</t>
        </is>
      </c>
      <c r="E12" s="8" t="inlineStr">
        <is>
          <t>Nối Keycloak Authorization Code + PKCE; login/logout, lưu token theo adapter, refresh; route guard và gọi /me thật.</t>
        </is>
      </c>
      <c r="F12" s="8" t="inlineStr">
        <is>
          <t>Luồng đăng nhập thật qua Keycloak và API gateway.</t>
        </is>
      </c>
      <c r="G12" s="8" t="inlineStr">
        <is>
          <t>Đăng nhập 2 vai trò thấy đúng menu; refresh trang/token hết hạn có xử lý.</t>
        </is>
      </c>
      <c r="H12" s="8" t="inlineStr">
        <is>
          <t>FE-02 + BE-03</t>
        </is>
      </c>
      <c r="I12" s="8" t="n">
        <v>4</v>
      </c>
      <c r="J12" s="8" t="inlineStr">
        <is>
          <t>Chưa làm</t>
        </is>
      </c>
      <c r="K12" s="8" t="n"/>
      <c r="L12" s="8" t="n"/>
    </row>
    <row r="13" ht="106" customHeight="1">
      <c r="A13" s="9" t="inlineStr">
        <is>
          <t>AI-03</t>
        </is>
      </c>
      <c r="B13" s="9" t="n">
        <v>3</v>
      </c>
      <c r="C13" s="9" t="inlineStr">
        <is>
          <t>AI</t>
        </is>
      </c>
      <c r="D13" s="9" t="inlineStr">
        <is>
          <t>P0</t>
        </is>
      </c>
      <c r="E13" s="9" t="inlineStr">
        <is>
          <t>Viết luật triage v0.1; chuẩn hóa tiếng Việt có/không dấu; soạn bộ 100 ticket theo nhóm tình huống, chia 60 phát triển/40 holdout và khóa split.</t>
        </is>
      </c>
      <c r="F13" s="9" t="inlineStr">
        <is>
          <t>Rules có version, dataset + nhãn, split manifest.</t>
        </is>
      </c>
      <c r="G13" s="9" t="inlineStr">
        <is>
          <t>Không chia biến thể cùng mẫu vào hai tập; FE/BE duyệt nhãn trong giờ tích hợp.</t>
        </is>
      </c>
      <c r="H13" s="9" t="inlineStr">
        <is>
          <t>AI-01</t>
        </is>
      </c>
      <c r="I13" s="9" t="n">
        <v>4</v>
      </c>
      <c r="J13" s="9" t="inlineStr">
        <is>
          <t>Chưa làm</t>
        </is>
      </c>
      <c r="K13" s="9" t="n"/>
      <c r="L13" s="9" t="n"/>
    </row>
    <row r="14" ht="106" customHeight="1">
      <c r="A14" s="8" t="inlineStr">
        <is>
          <t>BE-04</t>
        </is>
      </c>
      <c r="B14" s="8" t="n">
        <v>4</v>
      </c>
      <c r="C14" s="8" t="inlineStr">
        <is>
          <t>Backend</t>
        </is>
      </c>
      <c r="D14" s="8" t="inlineStr">
        <is>
          <t>P0</t>
        </is>
      </c>
      <c r="E14" s="8" t="inlineStr">
        <is>
          <t>Nhúng Flowable OSS; deploy BPMN thử; viết WorkflowService start/task/history dùng khóa quy trình + business key; chốt Core Data metadata contract.</t>
        </is>
      </c>
      <c r="F14" s="8" t="inlineStr">
        <is>
          <t>Workflow adapter + API bảo vệ; process thử; OpenAPI v0.1.</t>
        </is>
      </c>
      <c r="G14" s="8" t="inlineStr">
        <is>
          <t>Qua gateway tạo process, đọc task và history; metadata/schema dùng được khi không mở UI.</t>
        </is>
      </c>
      <c r="H14" s="8" t="inlineStr">
        <is>
          <t>BE-03</t>
        </is>
      </c>
      <c r="I14" s="8" t="n">
        <v>4</v>
      </c>
      <c r="J14" s="8" t="inlineStr">
        <is>
          <t>Chưa làm</t>
        </is>
      </c>
      <c r="K14" s="8" t="n"/>
      <c r="L14" s="8" t="n"/>
    </row>
    <row r="15" ht="106" customHeight="1">
      <c r="A15" s="9" t="inlineStr">
        <is>
          <t>FE-04</t>
        </is>
      </c>
      <c r="B15" s="9" t="n">
        <v>4</v>
      </c>
      <c r="C15" s="9" t="inlineStr">
        <is>
          <t>Frontend</t>
        </is>
      </c>
      <c r="D15" s="9" t="inlineStr">
        <is>
          <t>P0</t>
        </is>
      </c>
      <c r="E15" s="9" t="inlineStr">
        <is>
          <t>Làm form tạo, danh sách và chi tiết ticket theo contract; trạng thái loading/error/empty; trang workspace/tri thức khung.</t>
        </is>
      </c>
      <c r="F15" s="9" t="inlineStr">
        <is>
          <t>Ba màn hình nghiệp vụ với mock có kiểm soát.</t>
        </is>
      </c>
      <c r="G15" s="9" t="inlineStr">
        <is>
          <t>Payload và lỗi khớp OpenAPI; không gọi DB/engine trực tiếp.</t>
        </is>
      </c>
      <c r="H15" s="9" t="inlineStr">
        <is>
          <t>FE-03 + OpenAPI v0.1</t>
        </is>
      </c>
      <c r="I15" s="9" t="n">
        <v>4</v>
      </c>
      <c r="J15" s="9" t="inlineStr">
        <is>
          <t>Chưa làm</t>
        </is>
      </c>
      <c r="K15" s="9" t="n"/>
      <c r="L15" s="9" t="n"/>
    </row>
    <row r="16" ht="106" customHeight="1">
      <c r="A16" s="8" t="inlineStr">
        <is>
          <t>AI-04</t>
        </is>
      </c>
      <c r="B16" s="8" t="n">
        <v>4</v>
      </c>
      <c r="C16" s="8" t="inlineStr">
        <is>
          <t>AI</t>
        </is>
      </c>
      <c r="D16" s="8" t="inlineStr">
        <is>
          <t>P0</t>
        </is>
      </c>
      <c r="E16" s="8" t="inlineStr">
        <is>
          <t>Hoàn thành POST /triage và /search bản đầu; TF-IDF + cosine lấy đoạn trích; chốt 20 tài liệu có id/version/source/license/checksum.</t>
        </is>
      </c>
      <c r="F16" s="8" t="inlineStr">
        <is>
          <t>AI service v0.1, index cục bộ, bộ tri thức có metadata.</t>
        </is>
      </c>
      <c r="G16" s="8" t="inlineStr">
        <is>
          <t>Kết quả trả reasons/rule_version và doc_id/chunk_id/version; không có bằng chứng trả rỗng.</t>
        </is>
      </c>
      <c r="H16" s="8" t="inlineStr">
        <is>
          <t>AI-03</t>
        </is>
      </c>
      <c r="I16" s="8" t="n">
        <v>4</v>
      </c>
      <c r="J16" s="8" t="inlineStr">
        <is>
          <t>Chưa làm</t>
        </is>
      </c>
      <c r="K16" s="8" t="n"/>
      <c r="L16" s="8" t="n"/>
    </row>
    <row r="17" ht="106" customHeight="1">
      <c r="A17" s="9" t="inlineStr">
        <is>
          <t>BE-05</t>
        </is>
      </c>
      <c r="B17" s="9" t="n">
        <v>5</v>
      </c>
      <c r="C17" s="9" t="inlineStr">
        <is>
          <t>Backend</t>
        </is>
      </c>
      <c r="D17" s="9" t="inlineStr">
        <is>
          <t>P0</t>
        </is>
      </c>
      <c r="E17" s="9" t="inlineStr">
        <is>
          <t>Viết tạo/đọc/list ticket với workspace và phân trang; gọi WorkflowService trong transaction phù hợp; lưu process_instance_id/business_key; không sửa bảng engine.</t>
        </is>
      </c>
      <c r="F17" s="9" t="inlineStr">
        <is>
          <t>Ticket API và liên kết process.</t>
        </is>
      </c>
      <c r="G17" s="9" t="inlineStr">
        <is>
          <t>Tạo một ticket sinh đúng một process; lỗi khởi tạo không để ticket mồ côi.</t>
        </is>
      </c>
      <c r="H17" s="9" t="inlineStr">
        <is>
          <t>BE-04</t>
        </is>
      </c>
      <c r="I17" s="9" t="n">
        <v>4</v>
      </c>
      <c r="J17" s="9" t="inlineStr">
        <is>
          <t>Chưa làm</t>
        </is>
      </c>
      <c r="K17" s="9" t="n"/>
      <c r="L17" s="9" t="n"/>
    </row>
    <row r="18" ht="106" customHeight="1">
      <c r="A18" s="8" t="inlineStr">
        <is>
          <t>FE-05</t>
        </is>
      </c>
      <c r="B18" s="8" t="n">
        <v>5</v>
      </c>
      <c r="C18" s="8" t="inlineStr">
        <is>
          <t>Frontend</t>
        </is>
      </c>
      <c r="D18" s="8" t="inlineStr">
        <is>
          <t>P0</t>
        </is>
      </c>
      <c r="E18" s="8" t="inlineStr">
        <is>
          <t>Thay mock bằng API thật cho tạo/list/detail; validate input; hiển thị mã, trạng thái, người tạo và thời gian.</t>
        </is>
      </c>
      <c r="F18" s="8" t="inlineStr">
        <is>
          <t>Luồng requester tạo và xem yêu cầu.</t>
        </is>
      </c>
      <c r="G18" s="8" t="inlineStr">
        <is>
          <t>Ticket mới tồn tại sau reload; lỗi API được hiển thị rõ.</t>
        </is>
      </c>
      <c r="H18" s="8" t="inlineStr">
        <is>
          <t>FE-04 + BE-05</t>
        </is>
      </c>
      <c r="I18" s="8" t="n">
        <v>4</v>
      </c>
      <c r="J18" s="8" t="inlineStr">
        <is>
          <t>Chưa làm</t>
        </is>
      </c>
      <c r="K18" s="8" t="n"/>
      <c r="L18" s="8" t="n"/>
    </row>
    <row r="19" ht="106" customHeight="1">
      <c r="A19" s="9" t="inlineStr">
        <is>
          <t>AI-05</t>
        </is>
      </c>
      <c r="B19" s="9" t="n">
        <v>5</v>
      </c>
      <c r="C19" s="9" t="inlineStr">
        <is>
          <t>AI</t>
        </is>
      </c>
      <c r="D19" s="9" t="inlineStr">
        <is>
          <t>P0</t>
        </is>
      </c>
      <c r="E19" s="9" t="inlineStr">
        <is>
          <t>Tách index theo workspace; soạn manifest ingest từ Core Data; mở nguồn tài liệu bằng doc_id/version; viết test contract cho triage/search.</t>
        </is>
      </c>
      <c r="F19" s="9" t="inlineStr">
        <is>
          <t>Ingest adapter, kiểm tra citation, fixture dùng chung với FE.</t>
        </is>
      </c>
      <c r="G19" s="9" t="inlineStr">
        <is>
          <t>Không trả snippet/tài liệu workspace khác; dữ liệu nguồn vẫn thuộc Core Data.</t>
        </is>
      </c>
      <c r="H19" s="9" t="inlineStr">
        <is>
          <t>AI-04 + contract Core Data</t>
        </is>
      </c>
      <c r="I19" s="9" t="n">
        <v>4</v>
      </c>
      <c r="J19" s="9" t="inlineStr">
        <is>
          <t>Chưa làm</t>
        </is>
      </c>
      <c r="K19" s="9" t="n"/>
      <c r="L19" s="9" t="n"/>
    </row>
    <row r="20" ht="106" customHeight="1">
      <c r="A20" s="8" t="inlineStr">
        <is>
          <t>BE-06</t>
        </is>
      </c>
      <c r="B20" s="8" t="n">
        <v>6</v>
      </c>
      <c r="C20" s="8" t="inlineStr">
        <is>
          <t>Backend</t>
        </is>
      </c>
      <c r="D20" s="8" t="inlineStr">
        <is>
          <t>P0</t>
        </is>
      </c>
      <c r="E20" s="8" t="inlineStr">
        <is>
          <t>Hoàn thiện BPMN Service Desk: triage → assign → start → resolve → confirm close; API task/claim/complete có quyền; ưu tiên engine là nguồn trạng thái.</t>
        </is>
      </c>
      <c r="F20" s="8" t="inlineStr">
        <is>
          <t>Workflow chính, task inbox và action API.</t>
        </is>
      </c>
      <c r="G20" s="8" t="inlineStr">
        <is>
          <t>Mỗi action tạo task/transition đúng; nhận task sai người hoặc bước sai bị chặn.</t>
        </is>
      </c>
      <c r="H20" s="8" t="inlineStr">
        <is>
          <t>BE-05</t>
        </is>
      </c>
      <c r="I20" s="8" t="n">
        <v>4</v>
      </c>
      <c r="J20" s="8" t="inlineStr">
        <is>
          <t>Chưa làm</t>
        </is>
      </c>
      <c r="K20" s="8" t="n"/>
      <c r="L20" s="8" t="n"/>
    </row>
    <row r="21" ht="106" customHeight="1">
      <c r="A21" s="9" t="inlineStr">
        <is>
          <t>FE-06</t>
        </is>
      </c>
      <c r="B21" s="9" t="n">
        <v>6</v>
      </c>
      <c r="C21" s="9" t="inlineStr">
        <is>
          <t>Frontend</t>
        </is>
      </c>
      <c r="D21" s="9" t="inlineStr">
        <is>
          <t>P0</t>
        </is>
      </c>
      <c r="E21" s="9" t="inlineStr">
        <is>
          <t>Làm inbox agent, chọn nhóm/người xử lý, nút nhận/bắt đầu/hoàn tất/xác nhận đóng; hiển thị action hợp lệ theo response.</t>
        </is>
      </c>
      <c r="F21" s="9" t="inlineStr">
        <is>
          <t>Giao diện requester, agent và coordinator.</t>
        </is>
      </c>
      <c r="G21" s="9" t="inlineStr">
        <is>
          <t>Ba vai trò thao tác đúng hành trình; UI chặn double submit.</t>
        </is>
      </c>
      <c r="H21" s="9" t="inlineStr">
        <is>
          <t>FE-05 + BE-06</t>
        </is>
      </c>
      <c r="I21" s="9" t="n">
        <v>4</v>
      </c>
      <c r="J21" s="9" t="inlineStr">
        <is>
          <t>Chưa làm</t>
        </is>
      </c>
      <c r="K21" s="9" t="n"/>
      <c r="L21" s="9" t="n"/>
    </row>
    <row r="22" ht="106" customHeight="1">
      <c r="A22" s="8" t="inlineStr">
        <is>
          <t>AI-06</t>
        </is>
      </c>
      <c r="B22" s="8" t="n">
        <v>6</v>
      </c>
      <c r="C22" s="8" t="inlineStr">
        <is>
          <t>AI</t>
        </is>
      </c>
      <c r="D22" s="8" t="inlineStr">
        <is>
          <t>P0</t>
        </is>
      </c>
      <c r="E22" s="8" t="inlineStr">
        <is>
          <t>Hoàn thiện luật mức ảnh hưởng, unknown/needs_review, lý do và rule version; chỉnh trên 60 mẫu phát triển; chuẩn bị ca phủ định/thiếu thông tin.</t>
        </is>
      </c>
      <c r="F22" s="8" t="inlineStr">
        <is>
          <t>Rules v0.2, báo cáo lỗi trên tập phát triển.</t>
        </is>
      </c>
      <c r="G22" s="8" t="inlineStr">
        <is>
          <t>Không tự coi mọi từ “mạng” là lỗi mạng; không tự đóng/phân công ticket.</t>
        </is>
      </c>
      <c r="H22" s="8" t="inlineStr">
        <is>
          <t>AI-03 + AI-04</t>
        </is>
      </c>
      <c r="I22" s="8" t="n">
        <v>4</v>
      </c>
      <c r="J22" s="8" t="inlineStr">
        <is>
          <t>Chưa làm</t>
        </is>
      </c>
      <c r="K22" s="8" t="n"/>
      <c r="L22" s="8" t="n"/>
    </row>
    <row r="23" ht="106" customHeight="1">
      <c r="A23" s="9" t="inlineStr">
        <is>
          <t>BE-07</t>
        </is>
      </c>
      <c r="B23" s="9" t="n">
        <v>7</v>
      </c>
      <c r="C23" s="9" t="inlineStr">
        <is>
          <t>Backend</t>
        </is>
      </c>
      <c r="D23" s="9" t="inlineStr">
        <is>
          <t>P0</t>
        </is>
      </c>
      <c r="E23" s="9" t="inlineStr">
        <is>
          <t>Hoàn thiện timeline/audit actor, time, from/to, comment, request_id; test hoàn tất trùng task và xác nhận đóng đúng requester; đồng bộ trạng thái với engine.</t>
        </is>
      </c>
      <c r="F23" s="9" t="inlineStr">
        <is>
          <t>Ticket lifecycle hoàn chỉnh và test lõi.</t>
        </is>
      </c>
      <c r="G23" s="9" t="inlineStr">
        <is>
          <t>Submitted → Triage → Assigned → In Progress → Resolved → Closed có lịch sử; gửi lặp không sinh transition thứ hai.</t>
        </is>
      </c>
      <c r="H23" s="9" t="inlineStr">
        <is>
          <t>BE-06</t>
        </is>
      </c>
      <c r="I23" s="9" t="n">
        <v>4</v>
      </c>
      <c r="J23" s="9" t="inlineStr">
        <is>
          <t>Chưa làm</t>
        </is>
      </c>
      <c r="K23" s="9" t="n"/>
      <c r="L23" s="9" t="n"/>
    </row>
    <row r="24" ht="106" customHeight="1">
      <c r="A24" s="8" t="inlineStr">
        <is>
          <t>FE-07</t>
        </is>
      </c>
      <c r="B24" s="8" t="n">
        <v>7</v>
      </c>
      <c r="C24" s="8" t="inlineStr">
        <is>
          <t>Frontend</t>
        </is>
      </c>
      <c r="D24" s="8" t="inlineStr">
        <is>
          <t>P0</t>
        </is>
      </c>
      <c r="E24" s="8" t="inlineStr">
        <is>
          <t>Nối timeline, ghi chú, lọc cơ bản; sửa lỗi xuyên suốt; chạy phiên requester và agent tách nhau để demo.</t>
        </is>
      </c>
      <c r="F24" s="8" t="inlineStr">
        <is>
          <t>Luồng end-to-end chưa cần AI.</t>
        </is>
      </c>
      <c r="G24" s="8" t="inlineStr">
        <is>
          <t>Tạo đến đóng hoàn toàn bằng UI thật, reload không sai dữ liệu.</t>
        </is>
      </c>
      <c r="H24" s="8" t="inlineStr">
        <is>
          <t>FE-06 + BE-07</t>
        </is>
      </c>
      <c r="I24" s="8" t="n">
        <v>4</v>
      </c>
      <c r="J24" s="8" t="inlineStr">
        <is>
          <t>Chưa làm</t>
        </is>
      </c>
      <c r="K24" s="8" t="n"/>
      <c r="L24" s="8" t="n"/>
    </row>
    <row r="25" ht="106" customHeight="1">
      <c r="A25" s="9" t="inlineStr">
        <is>
          <t>AI-07</t>
        </is>
      </c>
      <c r="B25" s="9" t="n">
        <v>7</v>
      </c>
      <c r="C25" s="9" t="inlineStr">
        <is>
          <t>AI</t>
        </is>
      </c>
      <c r="D25" s="9" t="inlineStr">
        <is>
          <t>P0</t>
        </is>
      </c>
      <c r="E25" s="9" t="inlineStr">
        <is>
          <t>Bàn giao AI client spec: timeout, unavailable, citation schema; tạo script smoke API dùng chung; chuẩn bị payload cho UI panel.</t>
        </is>
      </c>
      <c r="F25" s="9" t="inlineStr">
        <is>
          <t>Collection/smoke script + AI integration fixtures.</t>
        </is>
      </c>
      <c r="G25" s="9" t="inlineStr">
        <is>
          <t>Có ca 200, không có kết quả, timeout; requester vẫn tạo được ticket khi AI ngừng.</t>
        </is>
      </c>
      <c r="H25" s="9" t="inlineStr">
        <is>
          <t>AI-05 + AI-06</t>
        </is>
      </c>
      <c r="I25" s="9" t="n">
        <v>4</v>
      </c>
      <c r="J25" s="9" t="inlineStr">
        <is>
          <t>Chưa làm</t>
        </is>
      </c>
      <c r="K25" s="9" t="n"/>
      <c r="L25" s="9" t="n"/>
    </row>
    <row r="26" ht="106" customHeight="1">
      <c r="A26" s="8" t="inlineStr">
        <is>
          <t>BE-08</t>
        </is>
      </c>
      <c r="B26" s="8" t="n">
        <v>8</v>
      </c>
      <c r="C26" s="8" t="inlineStr">
        <is>
          <t>Backend</t>
        </is>
      </c>
      <c r="D26" s="8" t="inlineStr">
        <is>
          <t>P0</t>
        </is>
      </c>
      <c r="E26" s="8" t="inlineStr">
        <is>
          <t>Hoàn thiện Core Knowledge/File API đọc metadata, upload/download riêng tư; giới hạn 5 MB và loại file; nối AI qua backend với timeout 3 giây và kiểm tra quyền citation.</t>
        </is>
      </c>
      <c r="F26" s="8" t="inlineStr">
        <is>
          <t>Data/file API + endpoint suggestions có fallback.</t>
        </is>
      </c>
      <c r="G26" s="8" t="inlineStr">
        <is>
          <t>Tạo ticket không phụ thuộc AI; tài liệu và file kiểm tra workspace; token không lộ ra AI logs.</t>
        </is>
      </c>
      <c r="H26" s="8" t="inlineStr">
        <is>
          <t>BE-07 + AI-07</t>
        </is>
      </c>
      <c r="I26" s="8" t="n">
        <v>4</v>
      </c>
      <c r="J26" s="8" t="inlineStr">
        <is>
          <t>Chưa làm</t>
        </is>
      </c>
      <c r="K26" s="8" t="n"/>
      <c r="L26" s="8" t="n"/>
    </row>
    <row r="27" ht="106" customHeight="1">
      <c r="A27" s="9" t="inlineStr">
        <is>
          <t>FE-08</t>
        </is>
      </c>
      <c r="B27" s="9" t="n">
        <v>8</v>
      </c>
      <c r="C27" s="9" t="inlineStr">
        <is>
          <t>Frontend</t>
        </is>
      </c>
      <c r="D27" s="9" t="inlineStr">
        <is>
          <t>P0</t>
        </is>
      </c>
      <c r="E27" s="9" t="inlineStr">
        <is>
          <t>Hoàn thiện Knowledge Hub, upload/download và panel gợi ý nhóm/ưu tiên; hiển thị nguồn/đoạn trích, không có kết quả và lỗi AI.</t>
        </is>
      </c>
      <c r="F27" s="9" t="inlineStr">
        <is>
          <t>UI tri thức và gợi ý gắn ticket.</t>
        </is>
      </c>
      <c r="G27" s="9" t="inlineStr">
        <is>
          <t>Người dùng mở đúng tài liệu, đúng phiên bản; không hiện “đã chấp nhận” khi chưa xác nhận.</t>
        </is>
      </c>
      <c r="H27" s="9" t="inlineStr">
        <is>
          <t>FE-07 + BE-08</t>
        </is>
      </c>
      <c r="I27" s="9" t="n">
        <v>4</v>
      </c>
      <c r="J27" s="9" t="inlineStr">
        <is>
          <t>Chưa làm</t>
        </is>
      </c>
      <c r="K27" s="9" t="n"/>
      <c r="L27" s="9" t="n"/>
    </row>
    <row r="28" ht="106" customHeight="1">
      <c r="A28" s="8" t="inlineStr">
        <is>
          <t>AI-08</t>
        </is>
      </c>
      <c r="B28" s="8" t="n">
        <v>8</v>
      </c>
      <c r="C28" s="8" t="inlineStr">
        <is>
          <t>AI</t>
        </is>
      </c>
      <c r="D28" s="8" t="inlineStr">
        <is>
          <t>P0</t>
        </is>
      </c>
      <c r="E28" s="8" t="inlineStr">
        <is>
          <t>Nối ingest từ Core Data vào index; trả top-3 đoạn trích phù hợp; kiểm tra workspace trước truy xuất; test tài liệu hết quyền/đổi version và AI tắt.</t>
        </is>
      </c>
      <c r="F28" s="8" t="inlineStr">
        <is>
          <t>Tích hợp AI thực, index manifest, test evidence.</t>
        </is>
      </c>
      <c r="G28" s="8" t="inlineStr">
        <is>
          <t>Backend kiểm tra lại quyền trước trả citation; tài liệu mới phải reindex rõ ràng, không hứa realtime.</t>
        </is>
      </c>
      <c r="H28" s="8" t="inlineStr">
        <is>
          <t>AI-05 + BE-08</t>
        </is>
      </c>
      <c r="I28" s="8" t="n">
        <v>4</v>
      </c>
      <c r="J28" s="8" t="inlineStr">
        <is>
          <t>Chưa làm</t>
        </is>
      </c>
      <c r="K28" s="8" t="n"/>
      <c r="L28" s="8" t="n"/>
    </row>
    <row r="29" ht="106" customHeight="1">
      <c r="A29" s="9" t="inlineStr">
        <is>
          <t>BE-09</t>
        </is>
      </c>
      <c r="B29" s="9" t="n">
        <v>9</v>
      </c>
      <c r="C29" s="9" t="inlineStr">
        <is>
          <t>Backend</t>
        </is>
      </c>
      <c r="D29" s="9" t="inlineStr">
        <is>
          <t>P0</t>
        </is>
      </c>
      <c r="E29" s="9" t="inlineStr">
        <is>
          <t>Thêm thống kê tổng/chờ/đang xử lý/đã đóng; lọc nhóm/trạng thái; lưu accepted/overridden có actor và giá trị trước/sau; viết test truy vấn quyền.</t>
        </is>
      </c>
      <c r="F29" s="9" t="inlineStr">
        <is>
          <t>Stats API và audit quyết định của con người.</t>
        </is>
      </c>
      <c r="G29" s="9" t="inlineStr">
        <is>
          <t>Số dashboard khớp truy vấn dữ liệu có quyền; override không bị AI ghi đè.</t>
        </is>
      </c>
      <c r="H29" s="9" t="inlineStr">
        <is>
          <t>BE-08</t>
        </is>
      </c>
      <c r="I29" s="9" t="n">
        <v>4</v>
      </c>
      <c r="J29" s="9" t="inlineStr">
        <is>
          <t>Chưa làm</t>
        </is>
      </c>
      <c r="K29" s="9" t="n"/>
      <c r="L29" s="9" t="n"/>
    </row>
    <row r="30" ht="106" customHeight="1">
      <c r="A30" s="8" t="inlineStr">
        <is>
          <t>FE-09</t>
        </is>
      </c>
      <c r="B30" s="8" t="n">
        <v>9</v>
      </c>
      <c r="C30" s="8" t="inlineStr">
        <is>
          <t>Frontend</t>
        </is>
      </c>
      <c r="D30" s="8" t="inlineStr">
        <is>
          <t>P0</t>
        </is>
      </c>
      <c r="E30" s="8" t="inlineStr">
        <is>
          <t>Nối dashboard bằng dữ liệu thật; UI chấp nhận/sửa gợi ý; responsive cơ bản cho laptop; mô tả nhãn trạng thái tiếng Việt.</t>
        </is>
      </c>
      <c r="F30" s="8" t="inlineStr">
        <is>
          <t>Dashboard, feedback AI và trải nghiệm hoàn chỉnh.</t>
        </is>
      </c>
      <c r="G30" s="8" t="inlineStr">
        <is>
          <t>Không hard-code số; có trạng thái rỗng, lỗi và quyền thiếu.</t>
        </is>
      </c>
      <c r="H30" s="8" t="inlineStr">
        <is>
          <t>FE-08 + BE-09</t>
        </is>
      </c>
      <c r="I30" s="8" t="n">
        <v>4</v>
      </c>
      <c r="J30" s="8" t="inlineStr">
        <is>
          <t>Chưa làm</t>
        </is>
      </c>
      <c r="K30" s="8" t="n"/>
      <c r="L30" s="8" t="n"/>
    </row>
    <row r="31" ht="106" customHeight="1">
      <c r="A31" s="9" t="inlineStr">
        <is>
          <t>AI-09</t>
        </is>
      </c>
      <c r="B31" s="9" t="n">
        <v>9</v>
      </c>
      <c r="C31" s="9" t="inlineStr">
        <is>
          <t>AI</t>
        </is>
      </c>
      <c r="D31" s="9" t="inlineStr">
        <is>
          <t>P0</t>
        </is>
      </c>
      <c r="E31" s="9" t="inlineStr">
        <is>
          <t>Chạy đánh giá holdout lần đầu; đo phân loại, fallback, top-3 retrieval và latency; ghi confusion matrix, ví dụ sai, nguồn dữ liệu và giới hạn.</t>
        </is>
      </c>
      <c r="F31" s="9" t="inlineStr">
        <is>
          <t>evaluation.json/csv + báo cáo Intelligence nháp.</t>
        </is>
      </c>
      <c r="G31" s="9" t="inlineStr">
        <is>
          <t>Ghi mẫu số và phân biệt chỉ tiêu mục tiêu với kết quả thật; không dùng holdout chỉnh luật.</t>
        </is>
      </c>
      <c r="H31" s="9" t="inlineStr">
        <is>
          <t>AI-08 + split khóa ngày 3</t>
        </is>
      </c>
      <c r="I31" s="9" t="n">
        <v>4</v>
      </c>
      <c r="J31" s="9" t="inlineStr">
        <is>
          <t>Chưa làm</t>
        </is>
      </c>
      <c r="K31" s="9" t="n"/>
      <c r="L31" s="9" t="n"/>
    </row>
    <row r="32" ht="106" customHeight="1">
      <c r="A32" s="8" t="inlineStr">
        <is>
          <t>BE-10</t>
        </is>
      </c>
      <c r="B32" s="8" t="n">
        <v>10</v>
      </c>
      <c r="C32" s="8" t="inlineStr">
        <is>
          <t>Backend</t>
        </is>
      </c>
      <c r="D32" s="8" t="inlineStr">
        <is>
          <t>P0</t>
        </is>
      </c>
      <c r="E32" s="8" t="inlineStr">
        <is>
          <t>Dùng script chạy quy trình duyệt tài liệu đơn giản với process key khác; kiểm tra core không import domain ticket; sửa blocker cuối.</t>
        </is>
      </c>
      <c r="F32" s="8" t="inlineStr">
        <is>
          <t>Bằng chứng headless + tái sử dụng workflow, không thêm app UI thứ hai.</t>
        </is>
      </c>
      <c r="G32" s="8" t="inlineStr">
        <is>
          <t>Quy trình khác dùng chung identity/gateway/workflow/data/audit; không phải gọi lại ticket bằng curl.</t>
        </is>
      </c>
      <c r="H32" s="8" t="inlineStr">
        <is>
          <t>BE-09</t>
        </is>
      </c>
      <c r="I32" s="8" t="n">
        <v>4</v>
      </c>
      <c r="J32" s="8" t="inlineStr">
        <is>
          <t>Chưa làm</t>
        </is>
      </c>
      <c r="K32" s="8" t="n"/>
      <c r="L32" s="8" t="n"/>
    </row>
    <row r="33" ht="106" customHeight="1">
      <c r="A33" s="9" t="inlineStr">
        <is>
          <t>FE-10</t>
        </is>
      </c>
      <c r="B33" s="9" t="n">
        <v>10</v>
      </c>
      <c r="C33" s="9" t="inlineStr">
        <is>
          <t>Frontend</t>
        </is>
      </c>
      <c r="D33" s="9" t="inlineStr">
        <is>
          <t>P0</t>
        </is>
      </c>
      <c r="E33" s="9" t="inlineStr">
        <is>
          <t>Chạy checklist toàn bộ màn hình; thu ảnh minh chứng H-P-D-I; ghép báo cáo và slide bản đầu; bỏ mock khỏi đường demo.</t>
        </is>
      </c>
      <c r="F33" s="9" t="inlineStr">
        <is>
          <t>Bản UI chốt tính năng, evidence folder, outline báo cáo.</t>
        </is>
      </c>
      <c r="G33" s="9" t="inlineStr">
        <is>
          <t>Một lượt demo đủ 3 tầng và H-P-D-I từ dữ liệu thật.</t>
        </is>
      </c>
      <c r="H33" s="9" t="inlineStr">
        <is>
          <t>FE-09</t>
        </is>
      </c>
      <c r="I33" s="9" t="n">
        <v>4</v>
      </c>
      <c r="J33" s="9" t="inlineStr">
        <is>
          <t>Chưa làm</t>
        </is>
      </c>
      <c r="K33" s="9" t="n"/>
      <c r="L33" s="9" t="n"/>
    </row>
    <row r="34" ht="106" customHeight="1">
      <c r="A34" s="8" t="inlineStr">
        <is>
          <t>AI-10</t>
        </is>
      </c>
      <c r="B34" s="8" t="n">
        <v>10</v>
      </c>
      <c r="C34" s="8" t="inlineStr">
        <is>
          <t>AI</t>
        </is>
      </c>
      <c r="D34" s="8" t="inlineStr">
        <is>
          <t>P0</t>
        </is>
      </c>
      <c r="E34" s="8" t="inlineStr">
        <is>
          <t>Hoàn thiện script seed/reset 80 ticket giả và 20 tài liệu qua API/transition; tạo snapshot/index version; kiểm tra dữ liệu seed phù hợp engine.</t>
        </is>
      </c>
      <c r="F34" s="8" t="inlineStr">
        <is>
          <t>Demo fixtures + reset script chỉ tác động môi trường demo.</t>
        </is>
      </c>
      <c r="G34" s="8" t="inlineStr">
        <is>
          <t>Reset lặp lại được; không chèn cột status giả để thay workflow history.</t>
        </is>
      </c>
      <c r="H34" s="8" t="inlineStr">
        <is>
          <t>AI-09 + APIs BE-08/09</t>
        </is>
      </c>
      <c r="I34" s="8" t="n">
        <v>4</v>
      </c>
      <c r="J34" s="8" t="inlineStr">
        <is>
          <t>Chưa làm</t>
        </is>
      </c>
      <c r="K34" s="8" t="n"/>
      <c r="L34" s="8" t="n"/>
    </row>
    <row r="35" ht="106" customHeight="1">
      <c r="A35" s="9" t="inlineStr">
        <is>
          <t>BE-11</t>
        </is>
      </c>
      <c r="B35" s="9" t="n">
        <v>11</v>
      </c>
      <c r="C35" s="9" t="inlineStr">
        <is>
          <t>Backend</t>
        </is>
      </c>
      <c r="D35" s="9" t="inlineStr">
        <is>
          <t>P0</t>
        </is>
      </c>
      <c r="E35" s="9" t="inlineStr">
        <is>
          <t>Sửa lỗi RBAC, cross-workspace, task race/double submit, file path và transaction; chạy test chức năng lõi và kiểm tra cổng exposed.</t>
        </is>
      </c>
      <c r="F35" s="9" t="inlineStr">
        <is>
          <t>Test report và bản sửa lỗi blocker/major.</t>
        </is>
      </c>
      <c r="G35" s="9" t="inlineStr">
        <is>
          <t>Không còn lỗi vượt quyền; hai người nhận một task chỉ một người thành công.</t>
        </is>
      </c>
      <c r="H35" s="9" t="inlineStr">
        <is>
          <t>BE-10</t>
        </is>
      </c>
      <c r="I35" s="9" t="n">
        <v>4</v>
      </c>
      <c r="J35" s="9" t="inlineStr">
        <is>
          <t>Chưa làm</t>
        </is>
      </c>
      <c r="K35" s="9" t="n"/>
      <c r="L35" s="9" t="n"/>
    </row>
    <row r="36" ht="106" customHeight="1">
      <c r="A36" s="8" t="inlineStr">
        <is>
          <t>FE-11</t>
        </is>
      </c>
      <c r="B36" s="8" t="n">
        <v>11</v>
      </c>
      <c r="C36" s="8" t="inlineStr">
        <is>
          <t>Frontend</t>
        </is>
      </c>
      <c r="D36" s="8" t="inlineStr">
        <is>
          <t>P0</t>
        </is>
      </c>
      <c r="E36" s="8" t="inlineStr">
        <is>
          <t>Tự clone source trên máy/môi trường mới, chạy theo README mà không hỏi BE; kiểm tra lỗi form, refresh, permission, file, dashboard; ghi thời gian setup.</t>
        </is>
      </c>
      <c r="F36" s="8" t="inlineStr">
        <is>
          <t>Biên bản clean build và test UI.</t>
        </is>
      </c>
      <c r="G36" s="8" t="inlineStr">
        <is>
          <t>Build frontend/backend/AI từ source; dependencies được tải khi có mạng; docs sửa theo lỗi thực tế.</t>
        </is>
      </c>
      <c r="H36" s="8" t="inlineStr">
        <is>
          <t>FE-10 + tài liệu chạy</t>
        </is>
      </c>
      <c r="I36" s="8" t="n">
        <v>4</v>
      </c>
      <c r="J36" s="8" t="inlineStr">
        <is>
          <t>Chưa làm</t>
        </is>
      </c>
      <c r="K36" s="8" t="n"/>
      <c r="L36" s="8" t="n"/>
    </row>
    <row r="37" ht="106" customHeight="1">
      <c r="A37" s="9" t="inlineStr">
        <is>
          <t>AI-11</t>
        </is>
      </c>
      <c r="B37" s="9" t="n">
        <v>11</v>
      </c>
      <c r="C37" s="9" t="inlineStr">
        <is>
          <t>AI</t>
        </is>
      </c>
      <c r="D37" s="9" t="inlineStr">
        <is>
          <t>P0</t>
        </is>
      </c>
      <c r="E37" s="9" t="inlineStr">
        <is>
          <t>Thử AI tắt/chậm, index trống, không có nguồn; đo trên máy demo; chạy lại snapshot đánh giá và demo không Internet sau khi preload.</t>
        </is>
      </c>
      <c r="F37" s="9" t="inlineStr">
        <is>
          <t>Fault-injection report, runtime/offline report.</t>
        </is>
      </c>
      <c r="G37" s="9" t="inlineStr">
        <is>
          <t>AI lỗi không làm mất ticket; không bịa nguồn; offline runtime độc lập API ngoài.</t>
        </is>
      </c>
      <c r="H37" s="9" t="inlineStr">
        <is>
          <t>AI-10</t>
        </is>
      </c>
      <c r="I37" s="9" t="n">
        <v>4</v>
      </c>
      <c r="J37" s="9" t="inlineStr">
        <is>
          <t>Chưa làm</t>
        </is>
      </c>
      <c r="K37" s="9" t="n"/>
      <c r="L37" s="9" t="n"/>
    </row>
    <row r="38" ht="106" customHeight="1">
      <c r="A38" s="8" t="inlineStr">
        <is>
          <t>BE-12</t>
        </is>
      </c>
      <c r="B38" s="8" t="n">
        <v>12</v>
      </c>
      <c r="C38" s="8" t="inlineStr">
        <is>
          <t>Backend</t>
        </is>
      </c>
      <c r="D38" s="8" t="inlineStr">
        <is>
          <t>P0</t>
        </is>
      </c>
      <c r="E38" s="8" t="inlineStr">
        <is>
          <t>Rà phiên bản/giấy phép dependency BE, gateway, identity, engine, DB và image; chốt ADR, API, hướng dẫn cấu hình, CHANGELOG; review secret scan.</t>
        </is>
      </c>
      <c r="F38" s="8" t="inlineStr">
        <is>
          <t>LICENSE, inventory đầy đủ, phần kiến trúc/API trong báo cáo.</t>
        </is>
      </c>
      <c r="G38" s="8" t="inlineStr">
        <is>
          <t>Mọi thành phần có version/source/license/vai trò; không có thành phần lõi chưa rõ giấy phép.</t>
        </is>
      </c>
      <c r="H38" s="8" t="inlineStr">
        <is>
          <t>BE-11</t>
        </is>
      </c>
      <c r="I38" s="8" t="n">
        <v>4</v>
      </c>
      <c r="J38" s="8" t="inlineStr">
        <is>
          <t>Chưa làm</t>
        </is>
      </c>
      <c r="K38" s="8" t="n"/>
      <c r="L38" s="8" t="n"/>
    </row>
    <row r="39" ht="106" customHeight="1">
      <c r="A39" s="9" t="inlineStr">
        <is>
          <t>FE-12</t>
        </is>
      </c>
      <c r="B39" s="9" t="n">
        <v>12</v>
      </c>
      <c r="C39" s="9" t="inlineStr">
        <is>
          <t>Frontend</t>
        </is>
      </c>
      <c r="D39" s="9" t="inlineStr">
        <is>
          <t>P0</t>
        </is>
      </c>
      <c r="E39" s="9" t="inlineStr">
        <is>
          <t>Hoàn thành README, hướng dẫn tài khoản demo sinh lúc setup, troubleshooting, CONTRIBUTING và bug tracker; tổng hợp báo cáo 8–10 trang, slide tối đa 12.</t>
        </is>
      </c>
      <c r="F39" s="9" t="inlineStr">
        <is>
          <t>Hồ sơ hoàn chỉnh và link bằng chứng.</t>
        </is>
      </c>
      <c r="G39" s="9" t="inlineStr">
        <is>
          <t>Người ngoài nhóm hiểu cách dựng/run; phụ thuộc FE/icon/font được ghi; tài liệu không chứa secret thật.</t>
        </is>
      </c>
      <c r="H39" s="9" t="inlineStr">
        <is>
          <t>FE-11 + nội dung BE/AI</t>
        </is>
      </c>
      <c r="I39" s="9" t="n">
        <v>4</v>
      </c>
      <c r="J39" s="9" t="inlineStr">
        <is>
          <t>Chưa làm</t>
        </is>
      </c>
      <c r="K39" s="9" t="n"/>
      <c r="L39" s="9" t="n"/>
    </row>
    <row r="40" ht="106" customHeight="1">
      <c r="A40" s="8" t="inlineStr">
        <is>
          <t>AI-12</t>
        </is>
      </c>
      <c r="B40" s="8" t="n">
        <v>12</v>
      </c>
      <c r="C40" s="8" t="inlineStr">
        <is>
          <t>AI</t>
        </is>
      </c>
      <c r="D40" s="8" t="inlineStr">
        <is>
          <t>P0</t>
        </is>
      </c>
      <c r="E40" s="8" t="inlineStr">
        <is>
          <t>Chốt DATA_CARD, INTELLIGENCE_CARD, licenses của Python/data/model nếu có; xuất metrics và giới hạn; hỗ trợ quét secrets trong lịch sử git.</t>
        </is>
      </c>
      <c r="F40" s="8" t="inlineStr">
        <is>
          <t>Báo cáo AI, provenance, bảng phụ thuộc AI và kết quả scan.</t>
        </is>
      </c>
      <c r="G40" s="8" t="inlineStr">
        <is>
          <t>Không gọi luật/TF-IDF là LLM hay RAG; số đánh giá đúng snapshot; không có dữ liệu cá nhân thật.</t>
        </is>
      </c>
      <c r="H40" s="8" t="inlineStr">
        <is>
          <t>AI-11</t>
        </is>
      </c>
      <c r="I40" s="8" t="n">
        <v>4</v>
      </c>
      <c r="J40" s="8" t="inlineStr">
        <is>
          <t>Chưa làm</t>
        </is>
      </c>
      <c r="K40" s="8" t="n"/>
      <c r="L40" s="8" t="n"/>
    </row>
    <row r="41" ht="106" customHeight="1">
      <c r="A41" s="9" t="inlineStr">
        <is>
          <t>BE-13</t>
        </is>
      </c>
      <c r="B41" s="9" t="n">
        <v>13</v>
      </c>
      <c r="C41" s="9" t="inlineStr">
        <is>
          <t>Backend</t>
        </is>
      </c>
      <c r="D41" s="9" t="inlineStr">
        <is>
          <t>P0</t>
        </is>
      </c>
      <c r="E41" s="9" t="inlineStr">
        <is>
          <t>Tạo release candidate; checkout sạch đúng commit, build/run/test; nếu đạt tạo tag và release v1.0.0, ghi known limitations/checksum/commit.</t>
        </is>
      </c>
      <c r="F41" s="9" t="inlineStr">
        <is>
          <t>Release/tag đã kiểm tra và gói demo.</t>
        </is>
      </c>
      <c r="G41" s="9" t="inlineStr">
        <is>
          <t>Chạy đúng source của tag; nếu sửa sau tag phải tạo phiên bản mới và kiểm lại phần liên quan.</t>
        </is>
      </c>
      <c r="H41" s="9" t="inlineStr">
        <is>
          <t>BE-12 + G5</t>
        </is>
      </c>
      <c r="I41" s="9" t="n">
        <v>4</v>
      </c>
      <c r="J41" s="9" t="inlineStr">
        <is>
          <t>Chưa làm</t>
        </is>
      </c>
      <c r="K41" s="9" t="n"/>
      <c r="L41" s="9" t="n"/>
    </row>
    <row r="42" ht="106" customHeight="1">
      <c r="A42" s="8" t="inlineStr">
        <is>
          <t>FE-13</t>
        </is>
      </c>
      <c r="B42" s="8" t="n">
        <v>13</v>
      </c>
      <c r="C42" s="8" t="inlineStr">
        <is>
          <t>Frontend</t>
        </is>
      </c>
      <c r="D42" s="8" t="inlineStr">
        <is>
          <t>P0</t>
        </is>
      </c>
      <c r="E42" s="8" t="inlineStr">
        <is>
          <t>Chốt slide và báo cáo; quay video 3–5 phút dự phòng; chạy thử bài 10 phút; FE giữ bản tài liệu nộp.</t>
        </is>
      </c>
      <c r="F42" s="8" t="inlineStr">
        <is>
          <t>Slide ≤12, báo cáo, video khuyến nghị.</t>
        </is>
      </c>
      <c r="G42" s="8" t="inlineStr">
        <is>
          <t>Nói đúng chức năng đã làm; link file/repo/tag khớp release.</t>
        </is>
      </c>
      <c r="H42" s="8" t="inlineStr">
        <is>
          <t>FE-12</t>
        </is>
      </c>
      <c r="I42" s="8" t="n">
        <v>4</v>
      </c>
      <c r="J42" s="8" t="inlineStr">
        <is>
          <t>Chưa làm</t>
        </is>
      </c>
      <c r="K42" s="8" t="n"/>
      <c r="L42" s="8" t="n"/>
    </row>
    <row r="43" ht="106" customHeight="1">
      <c r="A43" s="9" t="inlineStr">
        <is>
          <t>AI-13</t>
        </is>
      </c>
      <c r="B43" s="9" t="n">
        <v>13</v>
      </c>
      <c r="C43" s="9" t="inlineStr">
        <is>
          <t>AI</t>
        </is>
      </c>
      <c r="D43" s="9" t="inlineStr">
        <is>
          <t>P0</t>
        </is>
      </c>
      <c r="E43" s="9" t="inlineStr">
        <is>
          <t>Xác nhận metrics/rule/index khớp tag; preload images/dependencies cho máy demo và máy dự phòng; kiểm tra reset, offline startup, bản snapshot.</t>
        </is>
      </c>
      <c r="F43" s="9" t="inlineStr">
        <is>
          <t>Offline pack, report theo tag, phương án dự phòng.</t>
        </is>
      </c>
      <c r="G43" s="9" t="inlineStr">
        <is>
          <t>Tắt Internet vẫn đăng nhập local, xử lý workflow, tìm tri thức; không tuyên bố clean build offline nếu chưa cache đủ.</t>
        </is>
      </c>
      <c r="H43" s="9" t="inlineStr">
        <is>
          <t>AI-12 + release candidate</t>
        </is>
      </c>
      <c r="I43" s="9" t="n">
        <v>4</v>
      </c>
      <c r="J43" s="9" t="inlineStr">
        <is>
          <t>Chưa làm</t>
        </is>
      </c>
      <c r="K43" s="9" t="n"/>
      <c r="L43" s="9" t="n"/>
    </row>
    <row r="44" ht="106" customHeight="1">
      <c r="A44" s="8" t="inlineStr">
        <is>
          <t>BE-14</t>
        </is>
      </c>
      <c r="B44" s="8" t="n">
        <v>14</v>
      </c>
      <c r="C44" s="8" t="inlineStr">
        <is>
          <t>Backend</t>
        </is>
      </c>
      <c r="D44" s="8" t="inlineStr">
        <is>
          <t>P0</t>
        </is>
      </c>
      <c r="E44" s="8" t="inlineStr">
        <is>
          <t>Chuẩn bị phần giải thích core/SSO/workflow/tái sử dụng; kiểm lại repo/tag, API collection, cấu hình máy; trực xử lý sự cố demo.</t>
        </is>
      </c>
      <c r="F44" s="8" t="inlineStr">
        <is>
          <t>Checklist kỹ thuật đã ký và release sẵn trình diễn.</t>
        </is>
      </c>
      <c r="G44" s="8" t="inlineStr">
        <is>
          <t>Không đổi code phút cuối; lỗi bắt buộc sửa thì gắn tag mới và smoke lại.</t>
        </is>
      </c>
      <c r="H44" s="8" t="inlineStr">
        <is>
          <t>BE-13</t>
        </is>
      </c>
      <c r="I44" s="8" t="n">
        <v>4</v>
      </c>
      <c r="J44" s="8" t="inlineStr">
        <is>
          <t>Chưa làm</t>
        </is>
      </c>
      <c r="K44" s="8" t="n"/>
      <c r="L44" s="8" t="n"/>
    </row>
    <row r="45" ht="106" customHeight="1">
      <c r="A45" s="9" t="inlineStr">
        <is>
          <t>FE-14</t>
        </is>
      </c>
      <c r="B45" s="9" t="n">
        <v>14</v>
      </c>
      <c r="C45" s="9" t="inlineStr">
        <is>
          <t>Frontend</t>
        </is>
      </c>
      <c r="D45" s="9" t="inlineStr">
        <is>
          <t>P0</t>
        </is>
      </c>
      <c r="E45" s="9" t="inlineStr">
        <is>
          <t>Điều phối hai lượt rehearsal liên tiếp 10 phút + 5 phút hỏi đáp; mở đúng màn hình, báo cáo, slide/video; kiểm danh sách nộp và nộp trước hạn thực.</t>
        </is>
      </c>
      <c r="F45" s="9" t="inlineStr">
        <is>
          <t>Bài demo và bộ hồ sơ cuối cùng.</t>
        </is>
      </c>
      <c r="G45" s="9" t="inlineStr">
        <is>
          <t>Hai lượt không blocker; dành ít nhất 2 giờ trước deadline để nộp/kiểm link.</t>
        </is>
      </c>
      <c r="H45" s="9" t="inlineStr">
        <is>
          <t>FE-13</t>
        </is>
      </c>
      <c r="I45" s="9" t="n">
        <v>4</v>
      </c>
      <c r="J45" s="9" t="inlineStr">
        <is>
          <t>Chưa làm</t>
        </is>
      </c>
      <c r="K45" s="9" t="n"/>
      <c r="L45" s="9" t="n"/>
    </row>
    <row r="46" ht="106" customHeight="1">
      <c r="A46" s="8" t="inlineStr">
        <is>
          <t>AI-14</t>
        </is>
      </c>
      <c r="B46" s="8" t="n">
        <v>14</v>
      </c>
      <c r="C46" s="8" t="inlineStr">
        <is>
          <t>AI</t>
        </is>
      </c>
      <c r="D46" s="8" t="inlineStr">
        <is>
          <t>P0</t>
        </is>
      </c>
      <c r="E46" s="8" t="inlineStr">
        <is>
          <t>Trình bày lý do gợi ý, citation, ví dụ AI sai/fallback và kết quả đánh giá; kiểm dữ liệu reset, backup; chuẩn bị trả lời giới hạn.</t>
        </is>
      </c>
      <c r="F46" s="8" t="inlineStr">
        <is>
          <t>Demo Intelligence và phần trả lời có số đo thật.</t>
        </is>
      </c>
      <c r="G46" s="8" t="inlineStr">
        <is>
          <t>Không phóng đại độ chính xác/khả năng scale; giải thích được rule, dữ liệu, giấy phép.</t>
        </is>
      </c>
      <c r="H46" s="8" t="inlineStr">
        <is>
          <t>AI-13</t>
        </is>
      </c>
      <c r="I46" s="8" t="n">
        <v>4</v>
      </c>
      <c r="J46" s="8" t="inlineStr">
        <is>
          <t>Chưa làm</t>
        </is>
      </c>
      <c r="K46" s="8" t="n"/>
      <c r="L46" s="8" t="n"/>
    </row>
  </sheetData>
  <autoFilter ref="A4:L46"/>
  <mergeCells count="2">
    <mergeCell ref="A2:L2"/>
    <mergeCell ref="A1:L1"/>
  </mergeCells>
  <conditionalFormatting sqref="J5:J46">
    <cfRule type="expression" priority="1" dxfId="0">
      <formula>J5="Xong"</formula>
    </cfRule>
    <cfRule type="expression" priority="2" dxfId="1">
      <formula>J5="Bị chặn"</formula>
    </cfRule>
    <cfRule type="expression" priority="3" dxfId="2">
      <formula>J5="Đang làm"</formula>
    </cfRule>
    <cfRule type="expression" priority="4" dxfId="3">
      <formula>J5="Chờ tích hợp"</formula>
    </cfRule>
  </conditionalFormatting>
  <dataValidations count="2">
    <dataValidation sqref="J5:J46" showDropDown="0" showInputMessage="0" showErrorMessage="0" allowBlank="0" type="list">
      <formula1>"Chưa làm,Đang làm,Chờ tích hợp,Bị chặn,Xong"</formula1>
    </dataValidation>
    <dataValidation sqref="K5:K46" showDropDown="0" showInputMessage="0" showErrorMessage="0" allowBlank="1" type="decimal" operator="between">
      <formula1>0</formula1>
      <formula2>24</formula2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H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7" customWidth="1" min="3" max="3"/>
    <col width="73" customWidth="1" min="4" max="4"/>
    <col width="25" customWidth="1" min="5" max="5"/>
    <col width="66" customWidth="1" min="6" max="6"/>
    <col width="23" customWidth="1" min="7" max="7"/>
    <col width="18" customWidth="1" min="8" max="8"/>
  </cols>
  <sheetData>
    <row r="1" ht="29" customHeight="1">
      <c r="A1" s="13" t="inlineStr">
        <is>
          <t>7 CỔNG NGHIỆM THU</t>
        </is>
      </c>
    </row>
    <row r="2" ht="34" customHeight="1">
      <c r="A2" s="14" t="inlineStr">
        <is>
          <t>Dừng mở phạm vi nếu mốc trước chưa đạt.</t>
        </is>
      </c>
    </row>
    <row r="4" ht="31" customHeight="1">
      <c r="A4" s="15" t="inlineStr">
        <is>
          <t>Mốc</t>
        </is>
      </c>
      <c r="B4" s="15" t="inlineStr">
        <is>
          <t>Ngày</t>
        </is>
      </c>
      <c r="C4" s="15" t="inlineStr">
        <is>
          <t>Mục tiêu</t>
        </is>
      </c>
      <c r="D4" s="15" t="inlineStr">
        <is>
          <t>Bằng chứng đạt</t>
        </is>
      </c>
      <c r="E4" s="15" t="inlineStr">
        <is>
          <t>Chủ trì</t>
        </is>
      </c>
      <c r="F4" s="15" t="inlineStr">
        <is>
          <t>Nếu chưa đạt</t>
        </is>
      </c>
      <c r="G4" s="15" t="inlineStr">
        <is>
          <t>Liên hệ đề</t>
        </is>
      </c>
      <c r="H4" s="15" t="inlineStr">
        <is>
          <t>Kết quả</t>
        </is>
      </c>
    </row>
    <row r="5" ht="102" customHeight="1">
      <c r="A5" s="9" t="inlineStr">
        <is>
          <t>G1</t>
        </is>
      </c>
      <c r="B5" s="9" t="n">
        <v>2</v>
      </c>
      <c r="C5" s="9" t="inlineStr">
        <is>
          <t>Khung chạy chung</t>
        </is>
      </c>
      <c r="D5" s="9" t="inlineStr">
        <is>
          <t>Compose health, skeleton API/UI/AI, bộ phiên bản, OpenAPI/ADR.</t>
        </is>
      </c>
      <c r="E5" s="9" t="inlineStr">
        <is>
          <t>Cả 3</t>
        </is>
      </c>
      <c r="F5" s="9" t="inlineStr">
        <is>
          <t>Dừng chọn công nghệ; cắt màn hình phụ, chốt tổ hợp chạy được.</t>
        </is>
      </c>
      <c r="G5" s="9" t="inlineStr">
        <is>
          <t>Core, PoF</t>
        </is>
      </c>
      <c r="H5" s="9" t="inlineStr">
        <is>
          <t>Chưa kiểm tra</t>
        </is>
      </c>
    </row>
    <row r="6" ht="102" customHeight="1">
      <c r="A6" s="8" t="inlineStr">
        <is>
          <t>G2</t>
        </is>
      </c>
      <c r="B6" s="8" t="n">
        <v>4</v>
      </c>
      <c r="C6" s="8" t="inlineStr">
        <is>
          <t>Open-Core foundation</t>
        </is>
      </c>
      <c r="D6" s="8" t="inlineStr">
        <is>
          <t>SSO + 401/403 + route gateway + metadata/data + process/task/history thật; không cần UI để gọi.</t>
        </is>
      </c>
      <c r="E6" s="8" t="inlineStr">
        <is>
          <t>BE chủ trì; FE/AI kiểm tra</t>
        </is>
      </c>
      <c r="F6" s="8" t="inlineStr">
        <is>
          <t>Dồn giờ dự phòng để sửa auth/engine; frontend tiếp tục mock contract; không dựng thêm service.</t>
        </is>
      </c>
      <c r="G6" s="8" t="inlineStr">
        <is>
          <t>Đề 3, 4.1</t>
        </is>
      </c>
      <c r="H6" s="8" t="inlineStr">
        <is>
          <t>Chưa kiểm tra</t>
        </is>
      </c>
    </row>
    <row r="7" ht="102" customHeight="1">
      <c r="A7" s="9" t="inlineStr">
        <is>
          <t>G3</t>
        </is>
      </c>
      <c r="B7" s="9" t="n">
        <v>7</v>
      </c>
      <c r="C7" s="9" t="inlineStr">
        <is>
          <t>Quy trình chạy đầu-cuối</t>
        </is>
      </c>
      <c r="D7" s="9" t="inlineStr">
        <is>
          <t>Ticket đi đến Closed, có actor/time/history, đúng người nhận và quyền workspace.</t>
        </is>
      </c>
      <c r="E7" s="9" t="inlineStr">
        <is>
          <t>BE + FE</t>
        </is>
      </c>
      <c r="F7" s="9" t="inlineStr">
        <is>
          <t>Dừng UI đẹp/AI nâng cao; giữ workflow và role; chỉ một quy trình chính.</t>
        </is>
      </c>
      <c r="G7" s="9" t="inlineStr">
        <is>
          <t>Đề 4.2 P, 4.3</t>
        </is>
      </c>
      <c r="H7" s="9" t="inlineStr">
        <is>
          <t>Chưa kiểm tra</t>
        </is>
      </c>
    </row>
    <row r="8" ht="102" customHeight="1">
      <c r="A8" s="8" t="inlineStr">
        <is>
          <t>G4</t>
        </is>
      </c>
      <c r="B8" s="8" t="n">
        <v>10</v>
      </c>
      <c r="C8" s="8" t="inlineStr">
        <is>
          <t>MVP có H-P-D-I</t>
        </is>
      </c>
      <c r="D8" s="8" t="inlineStr">
        <is>
          <t>App + triage + trích dẫn + file + dashboard + headless + dữ liệu seed; đóng tính năng.</t>
        </is>
      </c>
      <c r="E8" s="8" t="inlineStr">
        <is>
          <t>Cả 3</t>
        </is>
      </c>
      <c r="F8" s="8" t="inlineStr">
        <is>
          <t>Bỏ mini-app, RAG, notification, SLA tự động; dashboard chỉ giữ số cốt lõi.</t>
        </is>
      </c>
      <c r="G8" s="8" t="inlineStr">
        <is>
          <t>Đề 4, 7–9</t>
        </is>
      </c>
      <c r="H8" s="8" t="inlineStr">
        <is>
          <t>Chưa kiểm tra</t>
        </is>
      </c>
    </row>
    <row r="9" ht="102" customHeight="1">
      <c r="A9" s="9" t="inlineStr">
        <is>
          <t>G5</t>
        </is>
      </c>
      <c r="B9" s="9" t="n">
        <v>12</v>
      </c>
      <c r="C9" s="9" t="inlineStr">
        <is>
          <t>Nguồn mở/hồ sơ</t>
        </is>
      </c>
      <c r="D9" s="9" t="inlineStr">
        <is>
          <t>License/version/provenance; README/build; CHANGELOG/issues; scan secrets; report/slide nháp đầy đủ.</t>
        </is>
      </c>
      <c r="E9" s="9" t="inlineStr">
        <is>
          <t>FE tổng hợp; mỗi người ký phần mình</t>
        </is>
      </c>
      <c r="F9" s="9" t="inlineStr">
        <is>
          <t>Giải quyết mục thiếu trước release; không nhận feature mới.</t>
        </is>
      </c>
      <c r="G9" s="9" t="inlineStr">
        <is>
          <t>Đề 5, 10–12</t>
        </is>
      </c>
      <c r="H9" s="9" t="inlineStr">
        <is>
          <t>Chưa kiểm tra</t>
        </is>
      </c>
    </row>
    <row r="10" ht="102" customHeight="1">
      <c r="A10" s="8" t="inlineStr">
        <is>
          <t>G6</t>
        </is>
      </c>
      <c r="B10" s="8" t="n">
        <v>13</v>
      </c>
      <c r="C10" s="8" t="inlineStr">
        <is>
          <t>Release đã kiểm tra</t>
        </is>
      </c>
      <c r="D10" s="8" t="inlineStr">
        <is>
          <t>Checkout tag, source build, smoke + demo offline runtime, known limitations.</t>
        </is>
      </c>
      <c r="E10" s="8" t="inlineStr">
        <is>
          <t>BE; FE dựng độc lập; AI xác minh dữ liệu</t>
        </is>
      </c>
      <c r="F10" s="8" t="inlineStr">
        <is>
          <t>Sửa blocker, phát hành tag mới; giữ bản backup đã đạt.</t>
        </is>
      </c>
      <c r="G10" s="8" t="inlineStr">
        <is>
          <t>PoF release/build</t>
        </is>
      </c>
      <c r="H10" s="8" t="inlineStr">
        <is>
          <t>Chưa kiểm tra</t>
        </is>
      </c>
    </row>
    <row r="11" ht="102" customHeight="1">
      <c r="A11" s="9" t="inlineStr">
        <is>
          <t>G7</t>
        </is>
      </c>
      <c r="B11" s="9" t="n">
        <v>14</v>
      </c>
      <c r="C11" s="9" t="inlineStr">
        <is>
          <t>Sẵn sàng nộp</t>
        </is>
      </c>
      <c r="D11" s="9" t="inlineStr">
        <is>
          <t>Hai lượt demo 10 phút đạt; tài liệu/link truy cập; nộp trước hạn thực.</t>
        </is>
      </c>
      <c r="E11" s="9" t="inlineStr">
        <is>
          <t>FE điều phối cả nhóm</t>
        </is>
      </c>
      <c r="F11" s="9" t="inlineStr">
        <is>
          <t>Dùng bản release ổn định và video dự phòng; nêu sự cố trung thực.</t>
        </is>
      </c>
      <c r="G11" s="9" t="inlineStr">
        <is>
          <t>Đề 9–10</t>
        </is>
      </c>
      <c r="H11" s="9" t="inlineStr">
        <is>
          <t>Chưa kiểm tra</t>
        </is>
      </c>
    </row>
  </sheetData>
  <autoFilter ref="A4:H11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70" customWidth="1" min="4" max="4"/>
    <col width="64" customWidth="1" min="5" max="5"/>
    <col width="30" customWidth="1" min="6" max="6"/>
  </cols>
  <sheetData>
    <row r="1" ht="29" customHeight="1">
      <c r="A1" s="13" t="inlineStr">
        <is>
          <t>MA TRẬN ĐỐI CHIẾU ĐỀ THI</t>
        </is>
      </c>
    </row>
    <row r="2" ht="34" customHeight="1">
      <c r="A2" s="14" t="inlineStr">
        <is>
          <t>Số giờ, dữ liệu mẫu và KPI trong kế hoạch là đề xuất; yêu cầu đề được ghi riêng ở cột căn cứ.</t>
        </is>
      </c>
    </row>
    <row r="4" ht="31" customHeight="1">
      <c r="A4" s="15" t="inlineStr">
        <is>
          <t>Yêu cầu</t>
        </is>
      </c>
      <c r="B4" s="15" t="inlineStr">
        <is>
          <t>Chủ trì</t>
        </is>
      </c>
      <c r="C4" s="15" t="inlineStr">
        <is>
          <t>Ngày</t>
        </is>
      </c>
      <c r="D4" s="15" t="inlineStr">
        <is>
          <t>Bằng chứng</t>
        </is>
      </c>
      <c r="E4" s="15" t="inlineStr">
        <is>
          <t>Nghiệm thu</t>
        </is>
      </c>
      <c r="F4" s="15" t="inlineStr">
        <is>
          <t>Căn cứ</t>
        </is>
      </c>
    </row>
    <row r="5" ht="78" customHeight="1">
      <c r="A5" s="9" t="inlineStr">
        <is>
          <t>Kiến trúc 3 tầng</t>
        </is>
      </c>
      <c r="B5" s="9" t="inlineStr">
        <is>
          <t>BE</t>
        </is>
      </c>
      <c r="C5" s="9" t="inlineStr">
        <is>
          <t>2, 4, 10</t>
        </is>
      </c>
      <c r="D5" s="9" t="inlineStr">
        <is>
          <t>ADR + sơ đồ + module boundary + API collection</t>
        </is>
      </c>
      <c r="E5" s="9" t="inlineStr">
        <is>
          <t>Tầng 1 có vai trò thật; giao diện ở tầng 2/3.</t>
        </is>
      </c>
      <c r="F5" s="9" t="inlineStr">
        <is>
          <t>Đề 3–4.1</t>
        </is>
      </c>
    </row>
    <row r="6" ht="78" customHeight="1">
      <c r="A6" s="8" t="inlineStr">
        <is>
          <t>Identity / SSO / RBAC</t>
        </is>
      </c>
      <c r="B6" s="8" t="inlineStr">
        <is>
          <t>BE + FE</t>
        </is>
      </c>
      <c r="C6" s="8" t="inlineStr">
        <is>
          <t>3–4, 11</t>
        </is>
      </c>
      <c r="D6" s="8" t="inlineStr">
        <is>
          <t>Realm config + /me + test 401/403/workspace</t>
        </is>
      </c>
      <c r="E6" s="8" t="inlineStr">
        <is>
          <t>Đăng nhập thật và kiểm quyền tại server.</t>
        </is>
      </c>
      <c r="F6" s="8" t="inlineStr">
        <is>
          <t>Đề 4.1, 7</t>
        </is>
      </c>
    </row>
    <row r="7" ht="78" customHeight="1">
      <c r="A7" s="9" t="inlineStr">
        <is>
          <t>API gateway / lớp API</t>
        </is>
      </c>
      <c r="B7" s="9" t="inlineStr">
        <is>
          <t>AI hỗ trợ, BE chịu trách nhiệm</t>
        </is>
      </c>
      <c r="C7" s="9" t="inlineStr">
        <is>
          <t>2–4</t>
        </is>
      </c>
      <c r="D7" s="9" t="inlineStr">
        <is>
          <t>Route config + network trace + request_id</t>
        </is>
      </c>
      <c r="E7" s="9" t="inlineStr">
        <is>
          <t>API nghiệp vụ qua gateway; backend không mở public riêng.</t>
        </is>
      </c>
      <c r="F7" s="9" t="inlineStr">
        <is>
          <t>Đề 4.1</t>
        </is>
      </c>
    </row>
    <row r="8" ht="78" customHeight="1">
      <c r="A8" s="8" t="inlineStr">
        <is>
          <t>Dữ liệu dùng chung</t>
        </is>
      </c>
      <c r="B8" s="8" t="inlineStr">
        <is>
          <t>BE</t>
        </is>
      </c>
      <c r="C8" s="8" t="inlineStr">
        <is>
          <t>4, 8</t>
        </is>
      </c>
      <c r="D8" s="8" t="inlineStr">
        <is>
          <t>Core Knowledge/File API + metadata + quyền</t>
        </is>
      </c>
      <c r="E8" s="8" t="inlineStr">
        <is>
          <t>Không chỉ có bảng ticket; provenance/tệp/tri thức qua core.</t>
        </is>
      </c>
      <c r="F8" s="8" t="inlineStr">
        <is>
          <t>Đề 4.1–4.2</t>
        </is>
      </c>
    </row>
    <row r="9" ht="78" customHeight="1">
      <c r="A9" s="9" t="inlineStr">
        <is>
          <t>Workflow Engine</t>
        </is>
      </c>
      <c r="B9" s="9" t="inlineStr">
        <is>
          <t>BE</t>
        </is>
      </c>
      <c r="C9" s="9" t="inlineStr">
        <is>
          <t>4–7</t>
        </is>
      </c>
      <c r="D9" s="9" t="inlineStr">
        <is>
          <t>BPMN + instance/task/history + tests</t>
        </is>
      </c>
      <c r="E9" s="9" t="inlineStr">
        <is>
          <t>Engine giữ task/state; app không tự đổi status bỏ qua engine.</t>
        </is>
      </c>
      <c r="F9" s="9" t="inlineStr">
        <is>
          <t>Đề 4.1–4.2</t>
        </is>
      </c>
    </row>
    <row r="10" ht="78" customHeight="1">
      <c r="A10" s="8" t="inlineStr">
        <is>
          <t>H — Human</t>
        </is>
      </c>
      <c r="B10" s="8" t="inlineStr">
        <is>
          <t>FE + BE</t>
        </is>
      </c>
      <c r="C10" s="8" t="inlineStr">
        <is>
          <t>3, 8</t>
        </is>
      </c>
      <c r="D10" s="8" t="inlineStr">
        <is>
          <t>Roles/workspace + Knowledge Hub</t>
        </is>
      </c>
      <c r="E10" s="8" t="inlineStr">
        <is>
          <t>Người dùng thấy đúng phạm vi và tài liệu nội bộ.</t>
        </is>
      </c>
      <c r="F10" s="8" t="inlineStr">
        <is>
          <t>Đề 4.2</t>
        </is>
      </c>
    </row>
    <row r="11" ht="78" customHeight="1">
      <c r="A11" s="9" t="inlineStr">
        <is>
          <t>P — Process</t>
        </is>
      </c>
      <c r="B11" s="9" t="inlineStr">
        <is>
          <t>BE + FE</t>
        </is>
      </c>
      <c r="C11" s="9" t="inlineStr">
        <is>
          <t>5–7</t>
        </is>
      </c>
      <c r="D11" s="9" t="inlineStr">
        <is>
          <t>Ticket lifecycle + inbox + history</t>
        </is>
      </c>
      <c r="E11" s="9" t="inlineStr">
        <is>
          <t>Có người tạo/xử lý/thời gian/hàng chờ.</t>
        </is>
      </c>
      <c r="F11" s="9" t="inlineStr">
        <is>
          <t>Đề 4.2</t>
        </is>
      </c>
    </row>
    <row r="12" ht="78" customHeight="1">
      <c r="A12" s="8" t="inlineStr">
        <is>
          <t>D — Data</t>
        </is>
      </c>
      <c r="B12" s="8" t="inlineStr">
        <is>
          <t>BE + FE + AI</t>
        </is>
      </c>
      <c r="C12" s="8" t="inlineStr">
        <is>
          <t>8–9</t>
        </is>
      </c>
      <c r="D12" s="8" t="inlineStr">
        <is>
          <t>Search/filter/stats/API + data manifest</t>
        </is>
      </c>
      <c r="E12" s="8" t="inlineStr">
        <is>
          <t>Dashboard dữ liệu thật; metadata/source/license.</t>
        </is>
      </c>
      <c r="F12" s="8" t="inlineStr">
        <is>
          <t>Đề 4.2, 8</t>
        </is>
      </c>
    </row>
    <row r="13" ht="78" customHeight="1">
      <c r="A13" s="9" t="inlineStr">
        <is>
          <t>I — Intelligence</t>
        </is>
      </c>
      <c r="B13" s="9" t="inlineStr">
        <is>
          <t>AI</t>
        </is>
      </c>
      <c r="C13" s="9" t="inlineStr">
        <is>
          <t>4, 8–9, 12</t>
        </is>
      </c>
      <c r="D13" s="9" t="inlineStr">
        <is>
          <t>Rules/TF-IDF + lý do/citation + metrics/card</t>
        </is>
      </c>
      <c r="E13" s="9" t="inlineStr">
        <is>
          <t>Ít nhất một chức năng thông minh; nêu version/input/giới hạn.</t>
        </is>
      </c>
      <c r="F13" s="9" t="inlineStr">
        <is>
          <t>Đề 4.2, 7</t>
        </is>
      </c>
    </row>
    <row r="14" ht="78" customHeight="1">
      <c r="A14" s="8" t="inlineStr">
        <is>
          <t>Ứng dụng minh họa</t>
        </is>
      </c>
      <c r="B14" s="8" t="inlineStr">
        <is>
          <t>FE + BE</t>
        </is>
      </c>
      <c r="C14" s="8" t="inlineStr">
        <is>
          <t>5–10</t>
        </is>
      </c>
      <c r="D14" s="8" t="inlineStr">
        <is>
          <t>Service Desk và Wi-Fi use case</t>
        </is>
      </c>
      <c r="E14" s="8" t="inlineStr">
        <is>
          <t>Một luồng hoàn chỉnh cho đơn vị đào tạo.</t>
        </is>
      </c>
      <c r="F14" s="8" t="inlineStr">
        <is>
          <t>Đề 4.3</t>
        </is>
      </c>
    </row>
    <row r="15" ht="78" customHeight="1">
      <c r="A15" s="9" t="inlineStr">
        <is>
          <t>Repo public / lịch sử commit</t>
        </is>
      </c>
      <c r="B15" s="9" t="inlineStr">
        <is>
          <t>Cả 3</t>
        </is>
      </c>
      <c r="C15" s="9" t="inlineStr">
        <is>
          <t>1–14</t>
        </is>
      </c>
      <c r="D15" s="9" t="inlineStr">
        <is>
          <t>URL public + commit thực + issue/PR</t>
        </is>
      </c>
      <c r="E15" s="9" t="inlineStr">
        <is>
          <t>Truy cập được lúc nộp/chấm.</t>
        </is>
      </c>
      <c r="F15" s="9" t="inlineStr">
        <is>
          <t>PoF 5 điểm</t>
        </is>
      </c>
    </row>
    <row r="16" ht="78" customHeight="1">
      <c r="A16" s="8" t="inlineStr">
        <is>
          <t>LICENSE / tương thích / provenance</t>
        </is>
      </c>
      <c r="B16" s="8" t="inlineStr">
        <is>
          <t>Cả 3</t>
        </is>
      </c>
      <c r="C16" s="8" t="inlineStr">
        <is>
          <t>1–2, 12</t>
        </is>
      </c>
      <c r="D16" s="8" t="inlineStr">
        <is>
          <t>LICENSE + inventory + notices + data card</t>
        </is>
      </c>
      <c r="E16" s="8" t="inlineStr">
        <is>
          <t>Ghi giấy phép mã, dependency, image, dữ liệu/model.</t>
        </is>
      </c>
      <c r="F16" s="8" t="inlineStr">
        <is>
          <t>PoF 10 điểm</t>
        </is>
      </c>
    </row>
    <row r="17" ht="78" customHeight="1">
      <c r="A17" s="9" t="inlineStr">
        <is>
          <t>Release/tag phiên bản</t>
        </is>
      </c>
      <c r="B17" s="9" t="inlineStr">
        <is>
          <t>BE</t>
        </is>
      </c>
      <c r="C17" s="9" t="inlineStr">
        <is>
          <t>13</t>
        </is>
      </c>
      <c r="D17" s="9" t="inlineStr">
        <is>
          <t>v1.0.0 (hoặc tag mới sau sửa)</t>
        </is>
      </c>
      <c r="E17" s="9" t="inlineStr">
        <is>
          <t>Tag khớp commit đã kiểm thử.</t>
        </is>
      </c>
      <c r="F17" s="9" t="inlineStr">
        <is>
          <t>PoF 5 điểm</t>
        </is>
      </c>
    </row>
    <row r="18" ht="78" customHeight="1">
      <c r="A18" s="8" t="inlineStr">
        <is>
          <t>Build/install từ source</t>
        </is>
      </c>
      <c r="B18" s="8" t="inlineStr">
        <is>
          <t>FE kiểm độc lập, BE/AI sửa</t>
        </is>
      </c>
      <c r="C18" s="8" t="inlineStr">
        <is>
          <t>11, 13</t>
        </is>
      </c>
      <c r="D18" s="8" t="inlineStr">
        <is>
          <t>Compose/Dockerfiles + biên bản clean build</t>
        </is>
      </c>
      <c r="E18" s="8" t="inlineStr">
        <is>
          <t>Cài/run theo README; runtime offline đã preload.</t>
        </is>
      </c>
      <c r="F18" s="8" t="inlineStr">
        <is>
          <t>PoF 10 điểm</t>
        </is>
      </c>
    </row>
    <row r="19" ht="78" customHeight="1">
      <c r="A19" s="9" t="inlineStr">
        <is>
          <t>Quản lý dependency</t>
        </is>
      </c>
      <c r="B19" s="9" t="inlineStr">
        <is>
          <t>Mỗi người phần mình</t>
        </is>
      </c>
      <c r="C19" s="9" t="inlineStr">
        <is>
          <t>2, 12</t>
        </is>
      </c>
      <c r="D19" s="9" t="inlineStr">
        <is>
          <t>Pin version, lockfile, source URL, inventory</t>
        </is>
      </c>
      <c r="E19" s="9" t="inlineStr">
        <is>
          <t>Không dùng latest; kiểm transitive và images.</t>
        </is>
      </c>
      <c r="F19" s="9" t="inlineStr">
        <is>
          <t>PoF 10 điểm</t>
        </is>
      </c>
    </row>
    <row r="20" ht="78" customHeight="1">
      <c r="A20" s="8" t="inlineStr">
        <is>
          <t>Tài liệu / CHANGELOG / issue</t>
        </is>
      </c>
      <c r="B20" s="8" t="inlineStr">
        <is>
          <t>FE tổng hợp</t>
        </is>
      </c>
      <c r="C20" s="8" t="inlineStr">
        <is>
          <t>1, 10–14</t>
        </is>
      </c>
      <c r="D20" s="8" t="inlineStr">
        <is>
          <t>README, CHANGELOG, issues, API, troubleshooting</t>
        </is>
      </c>
      <c r="E20" s="8" t="inlineStr">
        <is>
          <t>CONTRIBUTING khuyến khích; tài liệu đúng bản release.</t>
        </is>
      </c>
      <c r="F20" s="8" t="inlineStr">
        <is>
          <t>PoF 10 điểm</t>
        </is>
      </c>
    </row>
    <row r="21" ht="78" customHeight="1">
      <c r="A21" s="9" t="inlineStr">
        <is>
          <t>Kiểm thử và bảo mật</t>
        </is>
      </c>
      <c r="B21" s="9" t="inlineStr">
        <is>
          <t>BE + FE + AI</t>
        </is>
      </c>
      <c r="C21" s="9" t="inlineStr">
        <is>
          <t>3–4, 7, 11–12</t>
        </is>
      </c>
      <c r="D21" s="9" t="inlineStr">
        <is>
          <t>Tests, secret scan, .env.example</t>
        </is>
      </c>
      <c r="E21" s="9" t="inlineStr">
        <is>
          <t>Không lộ secret/PII; RBAC và chức năng lõi được kiểm tra.</t>
        </is>
      </c>
      <c r="F21" s="9" t="inlineStr">
        <is>
          <t>Đề 7, 12</t>
        </is>
      </c>
    </row>
    <row r="22" ht="78" customHeight="1">
      <c r="A22" s="8" t="inlineStr">
        <is>
          <t>Demo và hồ sơ nộp</t>
        </is>
      </c>
      <c r="B22" s="8" t="inlineStr">
        <is>
          <t>Cả 3</t>
        </is>
      </c>
      <c r="C22" s="8" t="inlineStr">
        <is>
          <t>10, 12–14</t>
        </is>
      </c>
      <c r="D22" s="8" t="inlineStr">
        <is>
          <t>Báo cáo, ≤12 slides, demo 10+5</t>
        </is>
      </c>
      <c r="E22" s="8" t="inlineStr">
        <is>
          <t>Báo cáo 8–10 trang và video 3–5 phút là khuyến nghị.</t>
        </is>
      </c>
      <c r="F22" s="8" t="inlineStr">
        <is>
          <t>Đề 9–10</t>
        </is>
      </c>
    </row>
  </sheetData>
  <autoFilter ref="A4:F22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G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70" customWidth="1" min="4" max="4"/>
    <col width="70" customWidth="1" min="5" max="5"/>
    <col width="16" customWidth="1" min="6" max="6"/>
    <col width="32" customWidth="1" min="7" max="7"/>
  </cols>
  <sheetData>
    <row r="1" ht="29" customHeight="1">
      <c r="A1" s="13" t="inlineStr">
        <is>
          <t>KIỂM THỬ CÓ Ý NGHĨA</t>
        </is>
      </c>
    </row>
    <row r="2" ht="34" customHeight="1">
      <c r="A2" s="14" t="inlineStr">
        <is>
          <t>Các test này phục vụ yêu cầu đề và rủi ro thực tế. Không cần phủ test hình thức cho mọi dòng code.</t>
        </is>
      </c>
    </row>
    <row r="4" ht="31" customHeight="1">
      <c r="A4" s="15" t="inlineStr">
        <is>
          <t>ID</t>
        </is>
      </c>
      <c r="B4" s="15" t="inlineStr">
        <is>
          <t>Người kiểm</t>
        </is>
      </c>
      <c r="C4" s="15" t="inlineStr">
        <is>
          <t>Nhóm</t>
        </is>
      </c>
      <c r="D4" s="15" t="inlineStr">
        <is>
          <t>Tình huống</t>
        </is>
      </c>
      <c r="E4" s="15" t="inlineStr">
        <is>
          <t>Kết quả mong đợi</t>
        </is>
      </c>
      <c r="F4" s="15" t="inlineStr">
        <is>
          <t>Ngày</t>
        </is>
      </c>
      <c r="G4" s="15" t="inlineStr">
        <is>
          <t>Kết quả / issue</t>
        </is>
      </c>
    </row>
    <row r="5" ht="88" customHeight="1">
      <c r="A5" s="9" t="inlineStr">
        <is>
          <t>T01</t>
        </is>
      </c>
      <c r="B5" s="9" t="inlineStr">
        <is>
          <t>BE</t>
        </is>
      </c>
      <c r="C5" s="9" t="inlineStr">
        <is>
          <t>Auth</t>
        </is>
      </c>
      <c r="D5" s="9" t="inlineStr">
        <is>
          <t>Không có token; token sai/hết hạn/issuer/audience sai.</t>
        </is>
      </c>
      <c r="E5" s="9" t="inlineStr">
        <is>
          <t>401; không trả nội dung nghiệp vụ.</t>
        </is>
      </c>
      <c r="F5" s="9" t="inlineStr">
        <is>
          <t>3–4, 11</t>
        </is>
      </c>
      <c r="G5" s="9" t="inlineStr">
        <is>
          <t>Chưa chạy</t>
        </is>
      </c>
    </row>
    <row r="6" ht="88" customHeight="1">
      <c r="A6" s="8" t="inlineStr">
        <is>
          <t>T02</t>
        </is>
      </c>
      <c r="B6" s="8" t="inlineStr">
        <is>
          <t>BE + FE</t>
        </is>
      </c>
      <c r="C6" s="8" t="inlineStr">
        <is>
          <t>RBAC</t>
        </is>
      </c>
      <c r="D6" s="8" t="inlineStr">
        <is>
          <t>Requester gọi API assign/admin; agent xử lý ticket ngoài workspace.</t>
        </is>
      </c>
      <c r="E6" s="8" t="inlineStr">
        <is>
          <t>403/404 nhất quán; không có side effect.</t>
        </is>
      </c>
      <c r="F6" s="8" t="inlineStr">
        <is>
          <t>3, 7, 11</t>
        </is>
      </c>
      <c r="G6" s="8" t="inlineStr">
        <is>
          <t>Chưa chạy</t>
        </is>
      </c>
    </row>
    <row r="7" ht="88" customHeight="1">
      <c r="A7" s="9" t="inlineStr">
        <is>
          <t>T03</t>
        </is>
      </c>
      <c r="B7" s="9" t="inlineStr">
        <is>
          <t>BE</t>
        </is>
      </c>
      <c r="C7" s="9" t="inlineStr">
        <is>
          <t>Workflow</t>
        </is>
      </c>
      <c r="D7" s="9" t="inlineStr">
        <is>
          <t>Tạo → triage → assign → start → resolve → close.</t>
        </is>
      </c>
      <c r="E7" s="9" t="inlineStr">
        <is>
          <t>Task/history thật, actor/time và trạng thái đúng.</t>
        </is>
      </c>
      <c r="F7" s="9" t="inlineStr">
        <is>
          <t>5–7, 11</t>
        </is>
      </c>
      <c r="G7" s="9" t="inlineStr">
        <is>
          <t>Chưa chạy</t>
        </is>
      </c>
    </row>
    <row r="8" ht="88" customHeight="1">
      <c r="A8" s="8" t="inlineStr">
        <is>
          <t>T04</t>
        </is>
      </c>
      <c r="B8" s="8" t="inlineStr">
        <is>
          <t>BE</t>
        </is>
      </c>
      <c r="C8" s="8" t="inlineStr">
        <is>
          <t>Tính nhất quán</t>
        </is>
      </c>
      <c r="D8" s="8" t="inlineStr">
        <is>
          <t>Tạo process lỗi; complete task hai lần; hai agent claim đồng thời.</t>
        </is>
      </c>
      <c r="E8" s="8" t="inlineStr">
        <is>
          <t>Không ticket mồ côi; một transition/assignee thành công.</t>
        </is>
      </c>
      <c r="F8" s="8" t="inlineStr">
        <is>
          <t>5, 7, 11</t>
        </is>
      </c>
      <c r="G8" s="8" t="inlineStr">
        <is>
          <t>Chưa chạy</t>
        </is>
      </c>
    </row>
    <row r="9" ht="88" customHeight="1">
      <c r="A9" s="9" t="inlineStr">
        <is>
          <t>T05</t>
        </is>
      </c>
      <c r="B9" s="9" t="inlineStr">
        <is>
          <t>BE + FE</t>
        </is>
      </c>
      <c r="C9" s="9" t="inlineStr">
        <is>
          <t>File/metadata</t>
        </is>
      </c>
      <c r="D9" s="9" t="inlineStr">
        <is>
          <t>Upload quá 5 MB, đuôi sai, tên có đường dẫn; tải file workspace khác.</t>
        </is>
      </c>
      <c r="E9" s="9" t="inlineStr">
        <is>
          <t>Từ chối an toàn; file hợp lệ giữ metadata/provenance.</t>
        </is>
      </c>
      <c r="F9" s="9" t="inlineStr">
        <is>
          <t>8, 11</t>
        </is>
      </c>
      <c r="G9" s="9" t="inlineStr">
        <is>
          <t>Chưa chạy</t>
        </is>
      </c>
    </row>
    <row r="10" ht="88" customHeight="1">
      <c r="A10" s="8" t="inlineStr">
        <is>
          <t>T06</t>
        </is>
      </c>
      <c r="B10" s="8" t="inlineStr">
        <is>
          <t>AI + BE</t>
        </is>
      </c>
      <c r="C10" s="8" t="inlineStr">
        <is>
          <t>Phân quyền tìm kiếm</t>
        </is>
      </c>
      <c r="D10" s="8" t="inlineStr">
        <is>
          <t>Truy vấn có tài liệu gần giống nằm ở workspace khác.</t>
        </is>
      </c>
      <c r="E10" s="8" t="inlineStr">
        <is>
          <t>Không lộ snippet, tên, id hoặc citation ngoài quyền.</t>
        </is>
      </c>
      <c r="F10" s="8" t="inlineStr">
        <is>
          <t>5, 8, 11</t>
        </is>
      </c>
      <c r="G10" s="8" t="inlineStr">
        <is>
          <t>Chưa chạy</t>
        </is>
      </c>
    </row>
    <row r="11" ht="88" customHeight="1">
      <c r="A11" s="9" t="inlineStr">
        <is>
          <t>T07</t>
        </is>
      </c>
      <c r="B11" s="9" t="inlineStr">
        <is>
          <t>AI</t>
        </is>
      </c>
      <c r="C11" s="9" t="inlineStr">
        <is>
          <t>Rule-based</t>
        </is>
      </c>
      <c r="D11" s="9" t="inlineStr">
        <is>
          <t>Rõ ràng, phủ định, ít thông tin, nhiều nhóm, không dấu.</t>
        </is>
      </c>
      <c r="E11" s="9" t="inlineStr">
        <is>
          <t>Có reasons/version; mơ hồ → needs_review; không tự quyết thay người.</t>
        </is>
      </c>
      <c r="F11" s="9" t="inlineStr">
        <is>
          <t>3–6, 9</t>
        </is>
      </c>
      <c r="G11" s="9" t="inlineStr">
        <is>
          <t>Chưa chạy</t>
        </is>
      </c>
    </row>
    <row r="12" ht="88" customHeight="1">
      <c r="A12" s="8" t="inlineStr">
        <is>
          <t>T08</t>
        </is>
      </c>
      <c r="B12" s="8" t="inlineStr">
        <is>
          <t>AI + FE</t>
        </is>
      </c>
      <c r="C12" s="8" t="inlineStr">
        <is>
          <t>Citation</t>
        </is>
      </c>
      <c r="D12" s="8" t="inlineStr">
        <is>
          <t>Nguồn hợp lệ/đã xóa/đổi version; query không có tài liệu.</t>
        </is>
      </c>
      <c r="E12" s="8" t="inlineStr">
        <is>
          <t>Mở đúng phiên bản; kết quả thiếu bằng chứng trả rỗng hoặc stale rõ ràng.</t>
        </is>
      </c>
      <c r="F12" s="8" t="inlineStr">
        <is>
          <t>8–9, 11</t>
        </is>
      </c>
      <c r="G12" s="8" t="inlineStr">
        <is>
          <t>Chưa chạy</t>
        </is>
      </c>
    </row>
    <row r="13" ht="88" customHeight="1">
      <c r="A13" s="9" t="inlineStr">
        <is>
          <t>T09</t>
        </is>
      </c>
      <c r="B13" s="9" t="inlineStr">
        <is>
          <t>AI + BE + FE</t>
        </is>
      </c>
      <c r="C13" s="9" t="inlineStr">
        <is>
          <t>AI fallback</t>
        </is>
      </c>
      <c r="D13" s="9" t="inlineStr">
        <is>
          <t>Tắt AI hoặc làm chậm hơn timeout 3 giây.</t>
        </is>
      </c>
      <c r="E13" s="9" t="inlineStr">
        <is>
          <t>Tạo và xử lý ticket vẫn chạy; UI báo chưa có gợi ý và cho làm thủ công.</t>
        </is>
      </c>
      <c r="F13" s="9" t="inlineStr">
        <is>
          <t>8, 11</t>
        </is>
      </c>
      <c r="G13" s="9" t="inlineStr">
        <is>
          <t>Chưa chạy</t>
        </is>
      </c>
    </row>
    <row r="14" ht="88" customHeight="1">
      <c r="A14" s="8" t="inlineStr">
        <is>
          <t>T10</t>
        </is>
      </c>
      <c r="B14" s="8" t="inlineStr">
        <is>
          <t>FE + BE</t>
        </is>
      </c>
      <c r="C14" s="8" t="inlineStr">
        <is>
          <t>Dashboard</t>
        </is>
      </c>
      <c r="D14" s="8" t="inlineStr">
        <is>
          <t>So counter theo workspace/status với danh sách ticket thật.</t>
        </is>
      </c>
      <c r="E14" s="8" t="inlineStr">
        <is>
          <t>Số đếm và filter đúng; không hard-code.</t>
        </is>
      </c>
      <c r="F14" s="8" t="inlineStr">
        <is>
          <t>9, 11</t>
        </is>
      </c>
      <c r="G14" s="8" t="inlineStr">
        <is>
          <t>Chưa chạy</t>
        </is>
      </c>
    </row>
    <row r="15" ht="88" customHeight="1">
      <c r="A15" s="9" t="inlineStr">
        <is>
          <t>T11</t>
        </is>
      </c>
      <c r="B15" s="9" t="inlineStr">
        <is>
          <t>FE chủ trì</t>
        </is>
      </c>
      <c r="C15" s="9" t="inlineStr">
        <is>
          <t>Reproducibility</t>
        </is>
      </c>
      <c r="D15" s="9" t="inlineStr">
        <is>
          <t>Clone tag ở môi trường sạch; build source theo README.</t>
        </is>
      </c>
      <c r="E15" s="9" t="inlineStr">
        <is>
          <t>Chạy được stack và seed; lưu OS/RAM/phiên bản/lệnh/thời gian.</t>
        </is>
      </c>
      <c r="F15" s="9" t="inlineStr">
        <is>
          <t>11, 13</t>
        </is>
      </c>
      <c r="G15" s="9" t="inlineStr">
        <is>
          <t>Chưa chạy</t>
        </is>
      </c>
    </row>
    <row r="16" ht="88" customHeight="1">
      <c r="A16" s="8" t="inlineStr">
        <is>
          <t>T12</t>
        </is>
      </c>
      <c r="B16" s="8" t="inlineStr">
        <is>
          <t>AI + FE</t>
        </is>
      </c>
      <c r="C16" s="8" t="inlineStr">
        <is>
          <t>Offline runtime</t>
        </is>
      </c>
      <c r="D16" s="8" t="inlineStr">
        <is>
          <t>Preload rồi ngắt Internet, restart stack, reset và demo.</t>
        </is>
      </c>
      <c r="E16" s="8" t="inlineStr">
        <is>
          <t>SSO local/workflow/search/file hoạt động; không gọi API ngoài bắt buộc.</t>
        </is>
      </c>
      <c r="F16" s="8" t="inlineStr">
        <is>
          <t>11, 13</t>
        </is>
      </c>
      <c r="G16" s="8" t="inlineStr">
        <is>
          <t>Chưa chạy</t>
        </is>
      </c>
    </row>
    <row r="17" ht="88" customHeight="1">
      <c r="A17" s="9" t="inlineStr">
        <is>
          <t>T13</t>
        </is>
      </c>
      <c r="B17" s="9" t="inlineStr">
        <is>
          <t>Cả 3</t>
        </is>
      </c>
      <c r="C17" s="9" t="inlineStr">
        <is>
          <t>Nguồn mở / secrets</t>
        </is>
      </c>
      <c r="D17" s="9" t="inlineStr">
        <is>
          <t>Review inventory và quét repo/lịch sử git.</t>
        </is>
      </c>
      <c r="E17" s="9" t="inlineStr">
        <is>
          <t>Không secret/PII; mọi thành phần lõi rõ version/nguồn/giấy phép.</t>
        </is>
      </c>
      <c r="F17" s="9" t="inlineStr">
        <is>
          <t>12–13</t>
        </is>
      </c>
      <c r="G17" s="9" t="inlineStr">
        <is>
          <t>Chưa chạy</t>
        </is>
      </c>
    </row>
    <row r="18" ht="88" customHeight="1">
      <c r="A18" s="8" t="inlineStr">
        <is>
          <t>T14</t>
        </is>
      </c>
      <c r="B18" s="8" t="inlineStr">
        <is>
          <t>BE + AI</t>
        </is>
      </c>
      <c r="C18" s="8" t="inlineStr">
        <is>
          <t>Headless / tái sử dụng</t>
        </is>
      </c>
      <c r="D18" s="8" t="inlineStr">
        <is>
          <t>Tắt frontend, gọi API core; chạy workflow duyệt tài liệu thứ hai.</t>
        </is>
      </c>
      <c r="E18" s="8" t="inlineStr">
        <is>
          <t>Core chạy không cần UI; process key mới không cần sửa domain ticket vào core.</t>
        </is>
      </c>
      <c r="F18" s="8" t="inlineStr">
        <is>
          <t>4, 10</t>
        </is>
      </c>
      <c r="G18" s="8" t="inlineStr">
        <is>
          <t>Chưa chạy</t>
        </is>
      </c>
    </row>
  </sheetData>
  <autoFilter ref="A4:G18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D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9" customWidth="1" min="2" max="2"/>
    <col width="81" customWidth="1" min="3" max="3"/>
    <col width="68" customWidth="1" min="4" max="4"/>
  </cols>
  <sheetData>
    <row r="1" ht="29" customHeight="1">
      <c r="A1" s="13" t="inlineStr">
        <is>
          <t>RỦI RO VÀ PHƯƠNG ÁN GIẢM PHẠM VI</t>
        </is>
      </c>
    </row>
    <row r="2" ht="34" customHeight="1">
      <c r="A2" s="14" t="inlineStr">
        <is>
          <t>Giữ các thành phần bắt buộc: identity, gateway/API trung gian, data, workflow, H-P-D-I, một app và hồ sơ nguồn mở.</t>
        </is>
      </c>
    </row>
    <row r="4" ht="31" customHeight="1">
      <c r="A4" s="15" t="inlineStr">
        <is>
          <t>Rủi ro</t>
        </is>
      </c>
      <c r="B4" s="15" t="inlineStr">
        <is>
          <t>Dấu hiệu</t>
        </is>
      </c>
      <c r="C4" s="15" t="inlineStr">
        <is>
          <t>Cách xử lý</t>
        </is>
      </c>
      <c r="D4" s="15" t="inlineStr">
        <is>
          <t>Giới hạn cần giữ</t>
        </is>
      </c>
    </row>
    <row r="5" ht="100" customHeight="1">
      <c r="A5" s="9" t="inlineStr">
        <is>
          <t>Backend quá tải</t>
        </is>
      </c>
      <c r="B5" s="9" t="inlineStr">
        <is>
          <t>BE chưa đạt G2/G3</t>
        </is>
      </c>
      <c r="C5" s="9" t="inlineStr">
        <is>
          <t>AI nhận Compose/gateway smoke/seed/eval; FE nhận docs/clean-build/UI tests; dùng module chung một backend.</t>
        </is>
      </c>
      <c r="D5" s="9" t="inlineStr">
        <is>
          <t>Bỏ tính năng phụ, không bỏ core/role/workflow.</t>
        </is>
      </c>
    </row>
    <row r="6" ht="100" customHeight="1">
      <c r="A6" s="8" t="inlineStr">
        <is>
          <t>Xung đột Java/Spring/Flowable</t>
        </is>
      </c>
      <c r="B6" s="8" t="inlineStr">
        <is>
          <t>Skeleton không start/deploy BPMN ngày 2</t>
        </is>
      </c>
      <c r="C6" s="8" t="inlineStr">
        <is>
          <t>Timebox spike và pin tổ hợp đã thử; dùng OSS engine embedded.</t>
        </is>
      </c>
      <c r="D6" s="8" t="inlineStr">
        <is>
          <t>Chốt tổ hợp ổn trước UI nghiệp vụ; không đổi runtime sau ngày 4.</t>
        </is>
      </c>
    </row>
    <row r="7" ht="100" customHeight="1">
      <c r="A7" s="9" t="inlineStr">
        <is>
          <t>SSO/gateway mắc lâu</t>
        </is>
      </c>
      <c r="B7" s="9" t="inlineStr">
        <is>
          <t>Login được nhưng /me 401 hoặc issuer sai</t>
        </is>
      </c>
      <c r="C7" s="9" t="inlineStr">
        <is>
          <t>Kiểm public/internal hostname, issuer, audience, redirect/CORS bằng một trace.</t>
        </is>
      </c>
      <c r="D7" s="9" t="inlineStr">
        <is>
          <t>Giữ gateway routing + kiểm JWT ở backend; không bỏ kiểm quyền server.</t>
        </is>
      </c>
    </row>
    <row r="8" ht="100" customHeight="1">
      <c r="A8" s="8" t="inlineStr">
        <is>
          <t>AI kém hoặc thiếu máy GPU</t>
        </is>
      </c>
      <c r="B8" s="8" t="inlineStr">
        <is>
          <t>Luật nhầm nhiều, model quá chậm</t>
        </is>
      </c>
      <c r="C8" s="8" t="inlineStr">
        <is>
          <t>MVP luật + TF-IDF offline; score là độ phù hợp, không phải xác suất đúng.</t>
        </is>
      </c>
      <c r="D8" s="8" t="inlineStr">
        <is>
          <t>Unknown/needs_review, tìm từ khóa có nguồn và xử lý thủ công; không giả kết quả.</t>
        </is>
      </c>
    </row>
    <row r="9" ht="100" customHeight="1">
      <c r="A9" s="9" t="inlineStr">
        <is>
          <t>Tích hợp muộn</t>
        </is>
      </c>
      <c r="B9" s="9" t="inlineStr">
        <is>
          <t>Đến ngày 5 vẫn chỉ dùng mock</t>
        </is>
      </c>
      <c r="C9" s="9" t="inlineStr">
        <is>
          <t>Mỗi ngày 1 giờ review/demo chung; contract chốt ngày 1–2; merge nhỏ.</t>
        </is>
      </c>
      <c r="D9" s="9" t="inlineStr">
        <is>
          <t>Dừng cải tiến cục bộ, ghép một luồng thực trước.</t>
        </is>
      </c>
    </row>
    <row r="10" ht="100" customHeight="1">
      <c r="A10" s="8" t="inlineStr">
        <is>
          <t>Không tái lập/offline</t>
        </is>
      </c>
      <c r="B10" s="8" t="inlineStr">
        <is>
          <t>Máy khác không chạy; cần download lúc demo</t>
        </is>
      </c>
      <c r="C10" s="8" t="inlineStr">
        <is>
          <t>Clean build ngày 11, exact tag ngày 13; tải trước images/packages/dữ liệu.</t>
        </is>
      </c>
      <c r="D10" s="8" t="inlineStr">
        <is>
          <t>Máy demo đã kiểm tra + máy dự phòng + video; nêu đúng giới hạn.</t>
        </is>
      </c>
    </row>
    <row r="11" ht="100" customHeight="1">
      <c r="A11" s="9" t="inlineStr">
        <is>
          <t>Không đủ thời gian thực tế</t>
        </is>
      </c>
      <c r="B11" s="9" t="inlineStr">
        <is>
          <t>Chỉ 2–3 giờ/người/ngày hoặc deadline sớm hơn</t>
        </is>
      </c>
      <c r="C11" s="9" t="inlineStr">
        <is>
          <t>Xác nhận deadline BTC ngay ngày 1; 14 ngày ở đây là lịch tương đối.</t>
        </is>
      </c>
      <c r="D11" s="9" t="inlineStr">
        <is>
          <t>Giữ P0, giảm polish và nâng cấp; không tự kéo dài hạn thi.</t>
        </is>
      </c>
    </row>
  </sheetData>
  <autoFilter ref="A4:D11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C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8" customWidth="1" min="2" max="2"/>
    <col width="88" customWidth="1" min="3" max="3"/>
  </cols>
  <sheetData>
    <row r="1" ht="29" customHeight="1">
      <c r="A1" s="13" t="inlineStr">
        <is>
          <t>CĂN CỨ KẾ HOẠCH</t>
        </is>
      </c>
    </row>
    <row r="2" ht="34" customHeight="1">
      <c r="A2" s="14" t="inlineStr">
        <is>
          <t>Ngày lập 06/10/2026. Tài liệu công nghệ là căn cứ thiết kế; pin phiên bản cụ thể sau thử tương thích ngày 2.</t>
        </is>
      </c>
    </row>
    <row r="4" ht="31" customHeight="1">
      <c r="A4" s="15" t="inlineStr">
        <is>
          <t>Nguồn</t>
        </is>
      </c>
      <c r="B4" s="15" t="inlineStr">
        <is>
          <t>File / URL</t>
        </is>
      </c>
      <c r="C4" s="15" t="inlineStr">
        <is>
          <t>Vai trò</t>
        </is>
      </c>
    </row>
    <row r="5" ht="75" customHeight="1">
      <c r="A5" s="9" t="inlineStr">
        <is>
          <t>Đề thi chính thức do người dùng cung cấp</t>
        </is>
      </c>
      <c r="B5" s="9" t="inlineStr">
        <is>
          <t>De_thi_PMNM_HaUI_2026_BAN_CHINH_THUC(1).pdf — mục 3–5, 7–14.</t>
        </is>
      </c>
      <c r="C5" s="9" t="inlineStr">
        <is>
          <t>Yêu cầu bắt buộc, rubric, hồ sơ và lịch 14 ngày.</t>
        </is>
      </c>
    </row>
    <row r="6" ht="75" customHeight="1">
      <c r="A6" s="8" t="inlineStr">
        <is>
          <t>Bản ý tưởng do người dùng cung cấp</t>
        </is>
      </c>
      <c r="B6" s="8" t="inlineStr">
        <is>
          <t>de-xuat-dx-lab-haui-smart-service-desk(1).pdf — mục 3–9, 11–13.</t>
        </is>
      </c>
      <c r="C6" s="8" t="inlineStr">
        <is>
          <t>Smart Service Desk, boundary core/app, workflow, luật + tìm tri thức.</t>
        </is>
      </c>
    </row>
    <row r="7" ht="75" customHeight="1">
      <c r="A7" s="9" t="inlineStr">
        <is>
          <t>APISIX documentation</t>
        </is>
      </c>
      <c r="B7" s="18" t="inlineStr">
        <is>
          <t>https://apisix.apache.org/docs/apisix/installation-guide/</t>
        </is>
      </c>
      <c r="C7" s="9" t="inlineStr">
        <is>
          <t>Standalone file-driven dùng cấu hình file, có thể bỏ etcd trong phạm vi demo.</t>
        </is>
      </c>
    </row>
    <row r="8" ht="75" customHeight="1">
      <c r="A8" s="8" t="inlineStr">
        <is>
          <t>Flowable documentation</t>
        </is>
      </c>
      <c r="B8" s="19" t="inlineStr">
        <is>
          <t>https://www.flowable.com/open-source/docs/bpmn/ch05a-Spring-Boot</t>
        </is>
      </c>
      <c r="C8" s="8" t="inlineStr">
        <is>
          <t>Tích hợp OSS engine vào Spring Boot; kiểm tương thích phiên bản ở ngày 2.</t>
        </is>
      </c>
    </row>
    <row r="9" ht="75" customHeight="1">
      <c r="A9" s="9" t="inlineStr">
        <is>
          <t>Keycloak documentation</t>
        </is>
      </c>
      <c r="B9" s="18" t="inlineStr">
        <is>
          <t>https://www.keycloak.org/securing-apps/javascript-adapter</t>
        </is>
      </c>
      <c r="C9" s="9" t="inlineStr">
        <is>
          <t>OIDC adapter, public client, token refresh, PKCE.</t>
        </is>
      </c>
    </row>
    <row r="10" ht="75" customHeight="1">
      <c r="A10" s="8" t="inlineStr">
        <is>
          <t>scikit-learn documentation</t>
        </is>
      </c>
      <c r="B10" s="19" t="inlineStr">
        <is>
          <t>https://scikit-learn.org/stable/modules/generated/sklearn.feature_extraction.text.TfidfVectorizer.html</t>
        </is>
      </c>
      <c r="C10" s="8" t="inlineStr">
        <is>
          <t>Công cụ TF-IDF cho baseline retrieval. Không phải semantic search/LLM.</t>
        </is>
      </c>
    </row>
  </sheetData>
  <autoFilter ref="A4:C10"/>
  <mergeCells count="2">
    <mergeCell ref="A1:C1"/>
    <mergeCell ref="A2:C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&amp;CDX-Lab HaUI |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2026-10-06T02:17:55Z</dcterms:created>
  <dcterms:modified xmlns:dcterms="http://purl.org/dc/terms/" xmlns:xsi="http://www.w3.org/2001/XMLSchema-instance" xsi:type="dcterms:W3CDTF">2026-10-06T02:17:55Z</dcterms:modified>
</cp:coreProperties>
</file>